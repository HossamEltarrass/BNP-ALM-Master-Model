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Master Balance Sheet" sheetId="3" state="visible" r:id="rId5"/>
    <sheet name="Engine" sheetId="4" state="visible" r:id="rId6"/>
    <sheet name="Model" sheetId="5" state="visible" r:id="rId7"/>
  </sheets>
  <definedNames>
    <definedName function="false" hidden="false" localSheetId="0" name="_xlnm.Print_Area" vbProcedure="false">Cover!$A$1:$G$38</definedName>
    <definedName function="false" hidden="false" localSheetId="1" name="_xlnm.Print_Area" vbProcedure="false">Dashboard!$A$1:$G$122</definedName>
    <definedName function="false" hidden="false" localSheetId="3" name="_xlnm.Print_Area" vbProcedure="false">Engine!$A$1:$L$260</definedName>
    <definedName function="false" hidden="false" localSheetId="2" name="_xlnm.Print_Area" vbProcedure="false">'Master Balance Sheet'!$A$1:$G$58</definedName>
    <definedName function="false" hidden="false" localSheetId="4" name="_xlnm.Print_Area" vbProcedure="false">Model!$A$1:$N$268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5" authorId="0">
      <text>
        <r>
          <rPr>
            <sz val="10"/>
            <rFont val="Arial"/>
            <family val="2"/>
          </rPr>
          <t xml:space="preserve">hossam el tarrass:
Trading book held flat per BNP strategic guidance — override here for stress.</t>
        </r>
      </text>
    </comment>
    <comment ref="E127" authorId="0">
      <text>
        <r>
          <rPr>
            <sz val="10"/>
            <rFont val="Arial"/>
            <family val="2"/>
          </rPr>
          <t xml:space="preserve">hossam el tarrass:
Scenario-driven trading book growth: 0%/+2%/-2%/-5% per Base/Hike/Cut/Stress.</t>
        </r>
      </text>
    </comment>
    <comment ref="E145" authorId="0">
      <text>
        <r>
          <rPr>
            <sz val="10"/>
            <rFont val="Arial"/>
            <family val="2"/>
          </rPr>
          <t xml:space="preserve">PLACEHOLDER: Replace with =prior_equity + Model retained earnings after P&amp;L is built (Phase 4)</t>
        </r>
      </text>
    </comment>
    <comment ref="F145" authorId="0">
      <text>
        <r>
          <rPr>
            <sz val="10"/>
            <rFont val="Arial"/>
            <family val="2"/>
          </rPr>
          <t xml:space="preserve">PLACEHOLDER: Replace with =prior_equity + Model retained earnings after P&amp;L is built (Phase 4)</t>
        </r>
      </text>
    </comment>
    <comment ref="G145" authorId="0">
      <text>
        <r>
          <rPr>
            <sz val="10"/>
            <rFont val="Arial"/>
            <family val="2"/>
          </rPr>
          <t xml:space="preserve">PLACEHOLDER: Replace with =prior_equity + Model retained earnings after P&amp;L is built (Phase 4)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2" authorId="0">
      <text>
        <r>
          <rPr>
            <sz val="10"/>
            <rFont val="Arial"/>
            <family val="2"/>
          </rPr>
          <t xml:space="preserve">Includes repo + IB + non-core deposits (30%) + 20% of bonds issued (FRN/maturing tranches) + 10% of sub debt (AT1 coupon resets). Per EBA/GL/2022/14.</t>
        </r>
      </text>
    </comment>
    <comment ref="C55" authorId="0">
      <text>
        <r>
          <rPr>
            <sz val="10"/>
            <rFont val="Arial"/>
            <family val="2"/>
          </rPr>
          <t xml:space="preserve">NII view uses direct gap × shock, not PVBP.</t>
        </r>
      </text>
    </comment>
    <comment ref="C58" authorId="0">
      <text>
        <r>
          <rPr>
            <sz val="10"/>
            <rFont val="Arial"/>
            <family val="2"/>
          </rPr>
          <t xml:space="preserve">Reduced by 15% vs upward shock per EBA/GL/2022/14 Annex III post-shock rate floor at 0%.</t>
        </r>
      </text>
    </comment>
    <comment ref="D40" authorId="0">
      <text>
        <r>
          <rPr>
            <sz val="10"/>
            <rFont val="Arial"/>
            <family val="2"/>
          </rPr>
          <t xml:space="preserve">hossam el tarrass:
Deposit beta is now scenario-driven: 40%/50%/30%/60% per Base/Hike/Cut/Stress per Engine!F10:F13.</t>
        </r>
      </text>
    </comment>
    <comment ref="D55" authorId="0">
      <text>
        <r>
          <rPr>
            <sz val="10"/>
            <rFont val="Arial"/>
            <family val="2"/>
          </rPr>
          <t xml:space="preserve">PVBP = Σ(gap_bucket × midpoint_duration). Units: €m-years. EVE impact = PVBP × shock_bps / 10000. Weights: ON=0.003y, 0-3M=0.125y, 3-6M=0.375y, 6-12M=0.75y, 1-2Y=1.5y, 2-5Y=3.5y, 5Y+=7.0y. NMD deposits flow through Section 3 bucketing (Engine C37-C40).</t>
        </r>
      </text>
    </comment>
    <comment ref="D58" authorId="0">
      <text>
        <r>
          <rPr>
            <sz val="10"/>
            <rFont val="Arial"/>
            <family val="2"/>
          </rPr>
          <t xml:space="preserve">15% reduction vs upward shock per EBA/GL/2022/14 Annex III post-shock interest rate floor at 0%. At ECB DFR 2.5%, deposit rates floor near 0% on downward shock, creating asymmetry.</t>
        </r>
      </text>
    </comment>
    <comment ref="D59" authorId="0">
      <text>
        <r>
          <rPr>
            <sz val="10"/>
            <rFont val="Arial"/>
            <family val="2"/>
          </rPr>
          <t xml:space="preserve">Steepener: long-end gaps gain duration-weighted exposure, short-end loses. Long buckets (1-2Y,2-5Y,5Y+) net against short buckets (ON,0-3M,3-6M,6-12M).</t>
        </r>
      </text>
    </comment>
    <comment ref="D62" authorId="0">
      <text>
        <r>
          <rPr>
            <sz val="10"/>
            <rFont val="Arial"/>
            <family val="2"/>
          </rPr>
          <t xml:space="preserve">Short Rate Down with 15% floor reduction per EBA/GL/2022/14 Annex III.</t>
        </r>
      </text>
    </comment>
    <comment ref="D65" authorId="0">
      <text>
        <r>
          <rPr>
            <sz val="10"/>
            <rFont val="Arial"/>
            <family val="2"/>
          </rPr>
          <t xml:space="preserve">Array formula: identifies worst-case EVE shock scenario per EBA/GL/2022/14 para 114. In older Excel, confirm with Ctrl+Shift+Enter.</t>
        </r>
      </text>
    </comment>
    <comment ref="D9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2026F LCR dip (159%→122%) driven by full 30-day outflow stress on growing deposit base with no inflow offset in D97. Inflow formula in D97=0 — verify and complete the 2026F inflow formula to match the C97 structure. If intentional as a conservative stress, document here.</t>
        </r>
      </text>
    </comment>
    <comment ref="D10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ASF total = sum of post-factor amounts only. Gross balances in adjacent columns are reference only.</t>
        </r>
      </text>
    </comment>
    <comment ref="J18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Gap = annual P&amp;L NII minus monthly granular NII. Excludes IB interest (€814m) and accrual timing. Not an error.</t>
        </r>
      </text>
    </comment>
  </commentList>
</comments>
</file>

<file path=xl/sharedStrings.xml><?xml version="1.0" encoding="utf-8"?>
<sst xmlns="http://schemas.openxmlformats.org/spreadsheetml/2006/main" count="881" uniqueCount="709">
  <si>
    <t xml:space="preserve">BNP PARIBAS — ALM MASTER MODEL</t>
  </si>
  <si>
    <t xml:space="preserve">Asset-Liability Management | Full-Cycle ALM Engine</t>
  </si>
  <si>
    <t xml:space="preserve">Calibrated to Q4 2025 Actuals | Basel III / CRR2 / EBA/GL/2022/14</t>
  </si>
  <si>
    <t xml:space="preserve">MODEL OVERVIEW</t>
  </si>
  <si>
    <t xml:space="preserve">Institution</t>
  </si>
  <si>
    <t xml:space="preserve">Reporting Currency</t>
  </si>
  <si>
    <t xml:space="preserve">Base Year</t>
  </si>
  <si>
    <t xml:space="preserve">Forecast Horizon</t>
  </si>
  <si>
    <t xml:space="preserve">Regulatory Framework</t>
  </si>
  <si>
    <t xml:space="preserve">Scenarios</t>
  </si>
  <si>
    <t xml:space="preserve">Base  |  Rate Hike  |  Rate Cut  |  Stress</t>
  </si>
  <si>
    <t xml:space="preserve">Model Version</t>
  </si>
  <si>
    <t xml:space="preserve">ARCHITECTURE</t>
  </si>
  <si>
    <t xml:space="preserve">Sheet</t>
  </si>
  <si>
    <t xml:space="preserve">Role</t>
  </si>
  <si>
    <t xml:space="preserve">Dashboard</t>
  </si>
  <si>
    <t xml:space="preserve">Executive ALCO view — scenario selector, KPI cards, NII waterfall, EVE sensitivity</t>
  </si>
  <si>
    <t xml:space="preserve">Engine</t>
  </si>
  <si>
    <t xml:space="preserve">Central control layer — rate curve, scenario inputs, CHOOSE-based propagation</t>
  </si>
  <si>
    <t xml:space="preserve">Model</t>
  </si>
  <si>
    <t xml:space="preserve">Full analytical engine — 15 modular sections, 1,000+ formulas</t>
  </si>
  <si>
    <t xml:space="preserve">Master Balance Sheet</t>
  </si>
  <si>
    <t xml:space="preserve">Source-of-truth balance sheet — actuals + three forecast years</t>
  </si>
  <si>
    <t xml:space="preserve">KEY METRICS SNAPSHOT (Base Scenario — 2026F)</t>
  </si>
  <si>
    <t xml:space="preserve">NII (€bn)</t>
  </si>
  <si>
    <t xml:space="preserve">NIM</t>
  </si>
  <si>
    <t xml:space="preserve">CET1</t>
  </si>
  <si>
    <t xml:space="preserve">LCR</t>
  </si>
  <si>
    <t xml:space="preserve">NSFR</t>
  </si>
  <si>
    <t xml:space="preserve">EVE/Tier 1</t>
  </si>
  <si>
    <t xml:space="preserve">AUTHOR</t>
  </si>
  <si>
    <t xml:space="preserve">Name</t>
  </si>
  <si>
    <t xml:space="preserve">ALM &amp; Treasury Risk Analyst</t>
  </si>
  <si>
    <t xml:space="preserve">LinkedIn</t>
  </si>
  <si>
    <t xml:space="preserve">linkedin.com/in/hossameltarrass</t>
  </si>
  <si>
    <t xml:space="preserve">GitHub</t>
  </si>
  <si>
    <t xml:space="preserve">github.com/hossam-eltarrass</t>
  </si>
  <si>
    <t xml:space="preserve">Last Updated</t>
  </si>
  <si>
    <t xml:space="preserve">DATA SOURCE &amp; DISCLAIMER</t>
  </si>
  <si>
    <t xml:space="preserve">Balance sheet actuals sourced from BNP Paribas Q4 2025 Results Press Release (verified public disclosure). All actuals are clearly labeled; forecast years are model-generated.</t>
  </si>
  <si>
    <t xml:space="preserve">Model built to bank-level standard for portfolio purposes. All regulatory references are to publicly available EBA guidelines and EU regulations.</t>
  </si>
  <si>
    <t xml:space="preserve">▸ ACTIVE SCENARIO</t>
  </si>
  <si>
    <t xml:space="preserve">Base</t>
  </si>
  <si>
    <t xml:space="preserve">Forecast: 2026F–2028F | Basel III / CRR2 / Del. Reg. (EU) 2022/786 / EBA/GL/2022/14</t>
  </si>
  <si>
    <t xml:space="preserve">CET1 Ratio</t>
  </si>
  <si>
    <t xml:space="preserve">EVE / Tier 1</t>
  </si>
  <si>
    <t xml:space="preserve">min 13.5%</t>
  </si>
  <si>
    <t xml:space="preserve">min 100%</t>
  </si>
  <si>
    <t xml:space="preserve">min 1.00x</t>
  </si>
  <si>
    <t xml:space="preserve">outlier &gt;15%</t>
  </si>
  <si>
    <t xml:space="preserve">BALANCE SHEET FORECAST (EUR millions)</t>
  </si>
  <si>
    <t xml:space="preserve">2025A</t>
  </si>
  <si>
    <t xml:space="preserve">2026F</t>
  </si>
  <si>
    <t xml:space="preserve">2027F</t>
  </si>
  <si>
    <t xml:space="preserve">2028F</t>
  </si>
  <si>
    <t xml:space="preserve">ASSETS</t>
  </si>
  <si>
    <t xml:space="preserve">Cash &amp; CB reserves</t>
  </si>
  <si>
    <t xml:space="preserve">Trading assets</t>
  </si>
  <si>
    <t xml:space="preserve">Loans to customers</t>
  </si>
  <si>
    <t xml:space="preserve">Interbank loans</t>
  </si>
  <si>
    <t xml:space="preserve">Securities</t>
  </si>
  <si>
    <t xml:space="preserve">Other assets</t>
  </si>
  <si>
    <t xml:space="preserve">TOTAL ASSETS</t>
  </si>
  <si>
    <t xml:space="preserve">LIABILITIES &amp; EQUITY</t>
  </si>
  <si>
    <t xml:space="preserve">Customer deposits</t>
  </si>
  <si>
    <t xml:space="preserve">Interbank funding</t>
  </si>
  <si>
    <t xml:space="preserve">Repo funding</t>
  </si>
  <si>
    <t xml:space="preserve">Bonds issued</t>
  </si>
  <si>
    <t xml:space="preserve">Subordinated debt</t>
  </si>
  <si>
    <t xml:space="preserve">Other liabilities</t>
  </si>
  <si>
    <t xml:space="preserve">TOTAL LIABILITIES</t>
  </si>
  <si>
    <t xml:space="preserve">Equity</t>
  </si>
  <si>
    <t xml:space="preserve">TOTAL LIABILITIES + EQUITY</t>
  </si>
  <si>
    <t xml:space="preserve">Balance sheet check</t>
  </si>
  <si>
    <t xml:space="preserve">PROFITABILITY (EUR millions)</t>
  </si>
  <si>
    <t xml:space="preserve">Net Interest Income</t>
  </si>
  <si>
    <t xml:space="preserve">Fee income</t>
  </si>
  <si>
    <t xml:space="preserve">Total Revenue</t>
  </si>
  <si>
    <t xml:space="preserve">Operating Expenses</t>
  </si>
  <si>
    <t xml:space="preserve">Provisions / CoR</t>
  </si>
  <si>
    <t xml:space="preserve">Net Income</t>
  </si>
  <si>
    <t xml:space="preserve">ROE</t>
  </si>
  <si>
    <t xml:space="preserve">Cost-to-Income</t>
  </si>
  <si>
    <t xml:space="preserve">FUNDING &amp; LIQUIDITY</t>
  </si>
  <si>
    <t xml:space="preserve">Threshold</t>
  </si>
  <si>
    <t xml:space="preserve">Loan-to-deposit ratio</t>
  </si>
  <si>
    <t xml:space="preserve">—</t>
  </si>
  <si>
    <t xml:space="preserve">Stable funding / total</t>
  </si>
  <si>
    <t xml:space="preserve">≥ 100%</t>
  </si>
  <si>
    <t xml:space="preserve">≥ 1.00x</t>
  </si>
  <si>
    <t xml:space="preserve">RISK &amp; REGULATORY</t>
  </si>
  <si>
    <t xml:space="preserve">CET1 ratio</t>
  </si>
  <si>
    <t xml:space="preserve">≥ 13.5%</t>
  </si>
  <si>
    <t xml:space="preserve">Leverage ratio</t>
  </si>
  <si>
    <t xml:space="preserve">≥ 3.0%</t>
  </si>
  <si>
    <t xml:space="preserve">IRRBB — Interest Rate Risk</t>
  </si>
  <si>
    <t xml:space="preserve">EVE / Tier 1 capital</t>
  </si>
  <si>
    <t xml:space="preserve">Outlier status (&gt;15% = breach)</t>
  </si>
  <si>
    <t xml:space="preserve">NII sensitivity (+200bps / NII)</t>
  </si>
  <si>
    <t xml:space="preserve">SCENARIO COMPARISON — 2026F</t>
  </si>
  <si>
    <t xml:space="preserve">Rate Hike</t>
  </si>
  <si>
    <t xml:space="preserve">Rate Cut</t>
  </si>
  <si>
    <t xml:space="preserve">Stress</t>
  </si>
  <si>
    <t xml:space="preserve">Net Income (€bn)</t>
  </si>
  <si>
    <t xml:space="preserve">CET1 (scenario)</t>
  </si>
  <si>
    <t xml:space="preserve">CHARTS</t>
  </si>
  <si>
    <t xml:space="preserve">Min. 13.5%</t>
  </si>
  <si>
    <t xml:space="preserve">BNP PARIBAS — ALM Master Model | Master Balance Sheet | EUR millions</t>
  </si>
  <si>
    <t xml:space="preserve">Line Item</t>
  </si>
  <si>
    <t xml:space="preserve">2024A</t>
  </si>
  <si>
    <t xml:space="preserve">Cash and balances at central banks</t>
  </si>
  <si>
    <t xml:space="preserve">Financial instruments FVTPL — trading</t>
  </si>
  <si>
    <t xml:space="preserve">Financial instruments FVTPL — non-trading</t>
  </si>
  <si>
    <t xml:space="preserve">Financial instruments FVTPL — designated</t>
  </si>
  <si>
    <t xml:space="preserve">Derivatives used for hedging purposes (asset)</t>
  </si>
  <si>
    <t xml:space="preserve">Financial assets FVOCI — Equity instruments WARNING: NOT HQLA — use MBS row 10 NOT row 9</t>
  </si>
  <si>
    <t xml:space="preserve">Financial assets FVOCI — Debt instruments ✓ HQLA eligible</t>
  </si>
  <si>
    <t xml:space="preserve">Financial assets amortised cost — Loans to credit institutions</t>
  </si>
  <si>
    <t xml:space="preserve">Financial assets amortised cost — Loans to customers</t>
  </si>
  <si>
    <t xml:space="preserve">Financial assets amortised cost — Debt securities ✓ HQLA eligible</t>
  </si>
  <si>
    <t xml:space="preserve">Remeasurement adjustment on interest-rate risk hedges</t>
  </si>
  <si>
    <t xml:space="preserve">Insurance investment assets WARNING: 100% RSF per CRR Art.428ab</t>
  </si>
  <si>
    <t xml:space="preserve">Current and deferred tax assets</t>
  </si>
  <si>
    <t xml:space="preserve">Accrued income and other assets</t>
  </si>
  <si>
    <t xml:space="preserve">Equity method investments</t>
  </si>
  <si>
    <t xml:space="preserve">Property, plant and equipment</t>
  </si>
  <si>
    <t xml:space="preserve">Intangible assets</t>
  </si>
  <si>
    <t xml:space="preserve">Goodwill</t>
  </si>
  <si>
    <t xml:space="preserve">Assets held for sale</t>
  </si>
  <si>
    <t xml:space="preserve">LIABILITIES</t>
  </si>
  <si>
    <t xml:space="preserve">Deposits from central banks</t>
  </si>
  <si>
    <t xml:space="preserve">Financial liabilities FVTPL — trading</t>
  </si>
  <si>
    <t xml:space="preserve">Financial liabilities FVTPL — repo / structured</t>
  </si>
  <si>
    <t xml:space="preserve">Financial liabilities FVTPL — other trading</t>
  </si>
  <si>
    <t xml:space="preserve">Financial liabilities FVTPL — designated</t>
  </si>
  <si>
    <t xml:space="preserve">Derivatives used for hedging purposes (liability) WARNING: EXCLUDE from IRRBB</t>
  </si>
  <si>
    <t xml:space="preserve">Financial liabilities AC — Deposits from credit institutions</t>
  </si>
  <si>
    <t xml:space="preserve">Financial liabilities AC — Customer deposits</t>
  </si>
  <si>
    <t xml:space="preserve">Financial liabilities AC — Debt securities issued</t>
  </si>
  <si>
    <t xml:space="preserve">Financial liabilities AC — Subordinated debt</t>
  </si>
  <si>
    <t xml:space="preserve">Current and deferred tax liabilities</t>
  </si>
  <si>
    <t xml:space="preserve">Accrued expenses and other liabilities</t>
  </si>
  <si>
    <t xml:space="preserve">Insurance contract liabilities</t>
  </si>
  <si>
    <t xml:space="preserve">Financial liabilities — insurance activities</t>
  </si>
  <si>
    <t xml:space="preserve">Provisions for contingencies and charges</t>
  </si>
  <si>
    <t xml:space="preserve">Liabilities associated with assets held for sale</t>
  </si>
  <si>
    <t xml:space="preserve">EQUITY</t>
  </si>
  <si>
    <t xml:space="preserve">Share capital, paid-in capital and retained earnings</t>
  </si>
  <si>
    <t xml:space="preserve">Net income attributable to shareholders</t>
  </si>
  <si>
    <t xml:space="preserve">Total capital, retained earnings and net income</t>
  </si>
  <si>
    <t xml:space="preserve">Changes recognised in equity (AOCI)</t>
  </si>
  <si>
    <t xml:space="preserve">Shareholders equity</t>
  </si>
  <si>
    <t xml:space="preserve">Minority interests</t>
  </si>
  <si>
    <t xml:space="preserve">TOTAL EQUITY</t>
  </si>
  <si>
    <t xml:space="preserve">TOTAL LIABILITIES AND EQUITY</t>
  </si>
  <si>
    <t xml:space="preserve">KEY: Red = excluded from HQLA or special regulatory treatment | Green = HQLA eligible | All figures in EUR millions</t>
  </si>
  <si>
    <t xml:space="preserve">BNP PARIBAS — ALM Engine | Assumptions &amp; Balance Sheet Forecast</t>
  </si>
  <si>
    <t xml:space="preserve">SECTION A1 — SCENARIO CONTROL</t>
  </si>
  <si>
    <t xml:space="preserve">pr</t>
  </si>
  <si>
    <t xml:space="preserve">[Note] Cell C5 MUST have Data Validation → List → Source: 1,2,3,4 This ONE cell drives the entire model.</t>
  </si>
  <si>
    <t xml:space="preserve">Scenario ID (linked from Dashboard — do NOT edit here)</t>
  </si>
  <si>
    <t xml:space="preserve">Row 8 = LIVE SCENARIO (write CHOOSE formulas):</t>
  </si>
  <si>
    <t xml:space="preserve">Rate Shock</t>
  </si>
  <si>
    <t xml:space="preserve">Loan Growth</t>
  </si>
  <si>
    <t xml:space="preserve">Dep Growth</t>
  </si>
  <si>
    <t xml:space="preserve">Dep Beta</t>
  </si>
  <si>
    <t xml:space="preserve">CoR bps</t>
  </si>
  <si>
    <t xml:space="preserve">CIR</t>
  </si>
  <si>
    <t xml:space="preserve">1 — Base</t>
  </si>
  <si>
    <t xml:space="preserve">2 — Rate Hike</t>
  </si>
  <si>
    <t xml:space="preserve">3 — Rate Cut</t>
  </si>
  <si>
    <t xml:space="preserve">4 — Stress</t>
  </si>
  <si>
    <t xml:space="preserve">SECTION A2 — MARKET RATE ENVIRONMENT | ECB / Bloomberg</t>
  </si>
  <si>
    <t xml:space="preserve">Parameter</t>
  </si>
  <si>
    <t xml:space="preserve">Source</t>
  </si>
  <si>
    <t xml:space="preserve">ECB Policy Rate (DFR)</t>
  </si>
  <si>
    <t xml:space="preserve">ECB press conf. 2025A=2.50% reached Sep-25</t>
  </si>
  <si>
    <t xml:space="preserve">3M Euribor</t>
  </si>
  <si>
    <t xml:space="preserve">EMMI fixing avg. DFR+~10bps.</t>
  </si>
  <si>
    <t xml:space="preserve">5Y Swap Rate</t>
  </si>
  <si>
    <t xml:space="preserve">Bloomberg EUR swap</t>
  </si>
  <si>
    <t xml:space="preserve">10Y Swap Rate</t>
  </si>
  <si>
    <t xml:space="preserve">Δ ECB (formula)</t>
  </si>
  <si>
    <t xml:space="preserve">Δ Euribor (formula)</t>
  </si>
  <si>
    <t xml:space="preserve">SECTION A3 — SPREAD ASSUMPTIONS</t>
  </si>
  <si>
    <t xml:space="preserve">Spread Parameter</t>
  </si>
  <si>
    <t xml:space="preserve">Loan spread over 3M Euribor</t>
  </si>
  <si>
    <t xml:space="preserve">BNP loan yield minus Euribor avg</t>
  </si>
  <si>
    <t xml:space="preserve">Loan repricing beta</t>
  </si>
  <si>
    <t xml:space="preserve">80% floating rate book</t>
  </si>
  <si>
    <t xml:space="preserve">Deposit spread below ECB</t>
  </si>
  <si>
    <t xml:space="preserve">ECB minus ~200bps historically</t>
  </si>
  <si>
    <t xml:space="preserve">Bond portfolio yield spread</t>
  </si>
  <si>
    <t xml:space="preserve">BNP FVOCI/AC over 10Y swap</t>
  </si>
  <si>
    <t xml:space="preserve">Interbank spread over Euribor</t>
  </si>
  <si>
    <t xml:space="preserve">Money market unsecured</t>
  </si>
  <si>
    <t xml:space="preserve">Repo spread below ECB DFR</t>
  </si>
  <si>
    <t xml:space="preserve">ECB DFR minus ESTR ~8.5bps</t>
  </si>
  <si>
    <t xml:space="preserve">SU bond issuance spread over 10Y</t>
  </si>
  <si>
    <t xml:space="preserve">BNP SU credit spread ~65bps</t>
  </si>
  <si>
    <t xml:space="preserve">Sub debt blended cost (AT1+T2)</t>
  </si>
  <si>
    <t xml:space="preserve">Blended AT1+T2 BNP Pillar 3</t>
  </si>
  <si>
    <t xml:space="preserve">SECTION A4 — BEHAVIOURAL PARAMETERS | EBA/GL/2022/14</t>
  </si>
  <si>
    <t xml:space="preserve">Value</t>
  </si>
  <si>
    <t xml:space="preserve">Regulatory Basis</t>
  </si>
  <si>
    <t xml:space="preserve">Retail deposit behavioural duration (yrs)</t>
  </si>
  <si>
    <t xml:space="preserve">EBA/GL/2022/14 Table 2: 2-3Y effective duration</t>
  </si>
  <si>
    <t xml:space="preserve">Corporate deposit behavioural duration (yrs)</t>
  </si>
  <si>
    <t xml:space="preserve">Basel IRRBB 2016 para 114: 1Y cap</t>
  </si>
  <si>
    <t xml:space="preserve">NMD core % (stable)</t>
  </si>
  <si>
    <t xml:space="preserve">BCBS IRRBB 2016 para 114: up to 90%, use 70%</t>
  </si>
  <si>
    <t xml:space="preserve">NMD non-core % (overnight)</t>
  </si>
  <si>
    <t xml:space="preserve">Residual = 100% minus core</t>
  </si>
  <si>
    <t xml:space="preserve">Securities: Gov bond % of portfolio</t>
  </si>
  <si>
    <t xml:space="preserve">BNP 2025 HQLA ~72% sovereign</t>
  </si>
  <si>
    <t xml:space="preserve">Securities: Corp bond % of portfolio</t>
  </si>
  <si>
    <t xml:space="preserve">Residual. Level 2A HQLA.</t>
  </si>
  <si>
    <t xml:space="preserve">Fee income ratio (% total assets)</t>
  </si>
  <si>
    <t xml:space="preserve">BNP 2025 fees+commissions/total assets</t>
  </si>
  <si>
    <t xml:space="preserve">Dividend payout ratio</t>
  </si>
  <si>
    <t xml:space="preserve">BNP stated policy: 60% payout</t>
  </si>
  <si>
    <t xml:space="preserve">SECTION A5 — IRRBB SHOCK PARAMETERS | EBA/GL/2022/14 ANNEX I</t>
  </si>
  <si>
    <t xml:space="preserve">Shock Scenario</t>
  </si>
  <si>
    <t xml:space="preserve">Shock</t>
  </si>
  <si>
    <t xml:space="preserve">Type</t>
  </si>
  <si>
    <t xml:space="preserve">Regulatory Source</t>
  </si>
  <si>
    <t xml:space="preserve">Parallel Up</t>
  </si>
  <si>
    <t xml:space="preserve">Level</t>
  </si>
  <si>
    <t xml:space="preserve">EBA/GL/2022/14 Annex I Scenario 1 — mandatory outlier test</t>
  </si>
  <si>
    <t xml:space="preserve">Parallel Down</t>
  </si>
  <si>
    <t xml:space="preserve">EBA/GL/2022/14 Annex I Scenario 2</t>
  </si>
  <si>
    <t xml:space="preserve">Steepener (+90/-90)</t>
  </si>
  <si>
    <t xml:space="preserve">Curve</t>
  </si>
  <si>
    <t xml:space="preserve">EBA/GL/2022/14 Annex I Scenario 3</t>
  </si>
  <si>
    <t xml:space="preserve">Flattener (+90/-90)</t>
  </si>
  <si>
    <t xml:space="preserve">EBA/GL/2022/14 Annex I Scenario 4</t>
  </si>
  <si>
    <t xml:space="preserve">Short Rate Up</t>
  </si>
  <si>
    <t xml:space="preserve">Short</t>
  </si>
  <si>
    <t xml:space="preserve">EBA/GL/2022/14 Annex I Scenario 5</t>
  </si>
  <si>
    <t xml:space="preserve">Short Rate Down</t>
  </si>
  <si>
    <t xml:space="preserve">EBA/GL/2022/14 Annex I Scenario 6</t>
  </si>
  <si>
    <t xml:space="preserve">EVE Outlier Threshold</t>
  </si>
  <si>
    <t xml:space="preserve">Limit</t>
  </si>
  <si>
    <t xml:space="preserve">CRR Art.448+EBA/GL/2022/14 para 114: &gt;15% Tier1 = outlier</t>
  </si>
  <si>
    <t xml:space="preserve">NII Early Warning</t>
  </si>
  <si>
    <t xml:space="preserve">EBA/GL/2022/14 para 116: &gt;5% NII triggers review</t>
  </si>
  <si>
    <t xml:space="preserve">SECTION A6 — LCR PARAMETERS | DEL. REG. (EU) 2022/786</t>
  </si>
  <si>
    <t xml:space="preserve">Article Reference</t>
  </si>
  <si>
    <t xml:space="preserve">Level 1 haircut: Cash+CB reserves</t>
  </si>
  <si>
    <t xml:space="preserve">Art.10(1)(a): 0% haircut</t>
  </si>
  <si>
    <t xml:space="preserve">Level 1 haircut: Sovereign bonds</t>
  </si>
  <si>
    <t xml:space="preserve">Art.10(1)(d-g): 0% haircut</t>
  </si>
  <si>
    <t xml:space="preserve">Level 2A haircut: IG corporate bonds</t>
  </si>
  <si>
    <t xml:space="preserve">Art.11(1)(b): 15% minimum</t>
  </si>
  <si>
    <t xml:space="preserve">Level 2 cap (% of HQLA)</t>
  </si>
  <si>
    <t xml:space="preserve">Art.17(1)(b): max 40%</t>
  </si>
  <si>
    <t xml:space="preserve">Level 2B cap (% of HQLA)</t>
  </si>
  <si>
    <t xml:space="preserve">Art.17(1)(c): max 15% (use 0%)</t>
  </si>
  <si>
    <t xml:space="preserve">Outflow: Retail stable deposits</t>
  </si>
  <si>
    <t xml:space="preserve">Art.24: 5%</t>
  </si>
  <si>
    <t xml:space="preserve">Outflow: Retail less stable</t>
  </si>
  <si>
    <t xml:space="preserve">Art.25: 10%</t>
  </si>
  <si>
    <t xml:space="preserve">Outflow: Wholesale non-operational</t>
  </si>
  <si>
    <t xml:space="preserve">Art.27(3): 25%</t>
  </si>
  <si>
    <t xml:space="preserve">Outflow: Financial institution unsecured</t>
  </si>
  <si>
    <t xml:space="preserve">Art.31: 100%</t>
  </si>
  <si>
    <t xml:space="preserve">Outflow: Repo — Level 1 collateral</t>
  </si>
  <si>
    <t xml:space="preserve">Art.28(3)(a): 0%</t>
  </si>
  <si>
    <t xml:space="preserve">Outflow: Repo — Level 2A collateral</t>
  </si>
  <si>
    <t xml:space="preserve">Art.28(3)(b): 15%</t>
  </si>
  <si>
    <t xml:space="preserve">Outflow: Undrawn committed facilities</t>
  </si>
  <si>
    <t xml:space="preserve">Art.32: 10%</t>
  </si>
  <si>
    <t xml:space="preserve">Outflow: CB excess deposits</t>
  </si>
  <si>
    <t xml:space="preserve">Art.27: 25%</t>
  </si>
  <si>
    <t xml:space="preserve">Inflow: Performing loans maturing &lt;=30d</t>
  </si>
  <si>
    <t xml:space="preserve">Art.32(3)(a): 50%</t>
  </si>
  <si>
    <t xml:space="preserve">Inflow: Securities maturing &lt;=30d</t>
  </si>
  <si>
    <t xml:space="preserve">Art.32(3)(c): 100%</t>
  </si>
  <si>
    <t xml:space="preserve">Inflow cap (% of gross outflows)</t>
  </si>
  <si>
    <t xml:space="preserve">Art.33: MANDATORY 75% cap</t>
  </si>
  <si>
    <t xml:space="preserve">SECTION A7 — NSFR PARAMETERS | CRR ART. 428a-428at</t>
  </si>
  <si>
    <t xml:space="preserve">Factor</t>
  </si>
  <si>
    <t xml:space="preserve">CRR Article</t>
  </si>
  <si>
    <t xml:space="preserve">EQUITY ASF: Equity (CET1+AT1+T2)</t>
  </si>
  <si>
    <t xml:space="preserve">CRR Art.428d: 100%</t>
  </si>
  <si>
    <t xml:space="preserve">RETAIL ASF: Stable deposits</t>
  </si>
  <si>
    <t xml:space="preserve">CRR Art.428h: 90%</t>
  </si>
  <si>
    <t xml:space="preserve">RETAIL ASF: Less stable deposits</t>
  </si>
  <si>
    <t xml:space="preserve">CRR Art.428i: 80%</t>
  </si>
  <si>
    <t xml:space="preserve">WHOLESALE ASF: Bonds issued &gt;1Y</t>
  </si>
  <si>
    <t xml:space="preserve">CRR Art.428n: 100%</t>
  </si>
  <si>
    <t xml:space="preserve">WHOLESALE ASF: Bonds 6M-1Y</t>
  </si>
  <si>
    <t xml:space="preserve">CRR Art.428o(2): 50%</t>
  </si>
  <si>
    <t xml:space="preserve">WHOLESALE ASF: Interbank &lt;6M</t>
  </si>
  <si>
    <t xml:space="preserve">CRR Art.428p: 0%</t>
  </si>
  <si>
    <t xml:space="preserve">WHOLESALE ASF: Repo Level 1 &lt;6M</t>
  </si>
  <si>
    <t xml:space="preserve">CRR Art.428q: 10%</t>
  </si>
  <si>
    <t xml:space="preserve">WHOLESALE ASF: Sub debt blended</t>
  </si>
  <si>
    <t xml:space="preserve">Blended AT1+T2 conservative</t>
  </si>
  <si>
    <t xml:space="preserve">WHOLESALE ASF: CB deposits</t>
  </si>
  <si>
    <t xml:space="preserve">RSF: Customer loans &gt;1Y</t>
  </si>
  <si>
    <t xml:space="preserve">CRR Art.428s(2): 85%</t>
  </si>
  <si>
    <t xml:space="preserve">RSF: Customer loans &lt;1Y</t>
  </si>
  <si>
    <t xml:space="preserve">CRR Art.428s(1): 50%</t>
  </si>
  <si>
    <t xml:space="preserve">RSF: HQLA Level 1 securities</t>
  </si>
  <si>
    <t xml:space="preserve">CRR Art.428r: 5%</t>
  </si>
  <si>
    <t xml:space="preserve">RSF: HQLA Level 2A securities</t>
  </si>
  <si>
    <t xml:space="preserve">CRR Art.428r: 15%</t>
  </si>
  <si>
    <t xml:space="preserve">RSF: Insurance assets WARNING: 100%</t>
  </si>
  <si>
    <t xml:space="preserve">CRR Art.428ab: 100% — EUR305bn</t>
  </si>
  <si>
    <t xml:space="preserve">RSF: Cash and CB reserves</t>
  </si>
  <si>
    <t xml:space="preserve">CRR Art.428q: 0%</t>
  </si>
  <si>
    <t xml:space="preserve">RSF: Interbank loans &lt;6M</t>
  </si>
  <si>
    <t xml:space="preserve">CRR Art.428s: 10%</t>
  </si>
  <si>
    <t xml:space="preserve">RSF: Other assets (PPE,goodwill)</t>
  </si>
  <si>
    <t xml:space="preserve">CRR Art.428ab: 100%</t>
  </si>
  <si>
    <t xml:space="preserve">SECTION A8 — REGULATORY THRESHOLDS | CRR / CRDV</t>
  </si>
  <si>
    <t xml:space="preserve">Legal Basis</t>
  </si>
  <si>
    <t xml:space="preserve">CET1 minimum ratio</t>
  </si>
  <si>
    <t xml:space="preserve">CRR Art.92: P1+Conservation+P2R+G-SII+CCyB = 13.5%</t>
  </si>
  <si>
    <t xml:space="preserve">AT1 minimum</t>
  </si>
  <si>
    <t xml:space="preserve">CRR Art.92(1)(b): 1.5%</t>
  </si>
  <si>
    <t xml:space="preserve">Total Capital minimum</t>
  </si>
  <si>
    <t xml:space="preserve">CRR Art.92(1)(c): 15.5%</t>
  </si>
  <si>
    <t xml:space="preserve">Leverage Ratio minimum</t>
  </si>
  <si>
    <t xml:space="preserve">CRR Art.92(1)(d)+CRR2: 3.0%</t>
  </si>
  <si>
    <t xml:space="preserve">LCR minimum</t>
  </si>
  <si>
    <t xml:space="preserve">Art.4 Del.Reg.(EU)2022/786: 100%</t>
  </si>
  <si>
    <t xml:space="preserve">NSFR minimum</t>
  </si>
  <si>
    <t xml:space="preserve">CRR Art.428b (CRR2): 100%</t>
  </si>
  <si>
    <t xml:space="preserve">IRRBB EVE outlier</t>
  </si>
  <si>
    <t xml:space="preserve">EBA/GL/2022/14 para 114: 15% Tier1</t>
  </si>
  <si>
    <t xml:space="preserve">IRRBB NII early warning</t>
  </si>
  <si>
    <t xml:space="preserve">EBA/GL/2022/14 para 116: 5% NII</t>
  </si>
  <si>
    <t xml:space="preserve">v1.0</t>
  </si>
  <si>
    <t xml:space="preserve">SECTION A9 — MODEL CONTROLS</t>
  </si>
  <si>
    <t xml:space="preserve">Reporting Date</t>
  </si>
  <si>
    <t xml:space="preserve">Currency</t>
  </si>
  <si>
    <t xml:space="preserve">EUR</t>
  </si>
  <si>
    <t xml:space="preserve">Units</t>
  </si>
  <si>
    <t xml:space="preserve">EUR millions</t>
  </si>
  <si>
    <t xml:space="preserve">BNP Paribas SA</t>
  </si>
  <si>
    <t xml:space="preserve">EU — Basel III / CRR2 / Del. Reg. (EU) 2022/786</t>
  </si>
  <si>
    <t xml:space="preserve">3 Years (2026F–2028F)</t>
  </si>
  <si>
    <t xml:space="preserve">Prepared By</t>
  </si>
  <si>
    <t xml:space="preserve">Hossam Eltarrass</t>
  </si>
  <si>
    <t xml:space="preserve">ZONE B — BALANCE SHEET FORECAST (Formula Cells — write formulas here, NOT yellow)</t>
  </si>
  <si>
    <t xml:space="preserve">[Note] ALL cells here are formula cells. Reference only: Zone A above OR Master Balance Sheet. NEVER hardcode a number. Balance sheet check row 147 MUST = 0 before moving to Model sheet.</t>
  </si>
  <si>
    <t xml:space="preserve">Item</t>
  </si>
  <si>
    <t xml:space="preserve">DERIVED RATES — write your rate formulas here</t>
  </si>
  <si>
    <t xml:space="preserve">Loan yield</t>
  </si>
  <si>
    <t xml:space="preserve">Deposit rate</t>
  </si>
  <si>
    <t xml:space="preserve">Repo rate</t>
  </si>
  <si>
    <t xml:space="preserve">Bond portfolio yield</t>
  </si>
  <si>
    <t xml:space="preserve">SU bond issuance cost</t>
  </si>
  <si>
    <t xml:space="preserve">Market funding rate (Euribor+spread)</t>
  </si>
  <si>
    <t xml:space="preserve">Sub debt blended cost</t>
  </si>
  <si>
    <t xml:space="preserve">Asset Line</t>
  </si>
  <si>
    <t xml:space="preserve">Cash &amp; CB reserves (RESIDUAL PLUG — build last)</t>
  </si>
  <si>
    <t xml:space="preserve">Securities WARNING: USE MBS ROW 10+ROW 13 NOT ROW 9</t>
  </si>
  <si>
    <t xml:space="preserve">Liability Line</t>
  </si>
  <si>
    <t xml:space="preserve">Equity / Check</t>
  </si>
  <si>
    <t xml:space="preserve">Equity ← PLACEHOLDER (replace with P&amp;L retained earnings after Model built)</t>
  </si>
  <si>
    <t xml:space="preserve">BALANCE SHEET CHECK</t>
  </si>
  <si>
    <t xml:space="preserve">FUNDING RATIOS</t>
  </si>
  <si>
    <t xml:space="preserve">Loan-Deposit ratio</t>
  </si>
  <si>
    <t xml:space="preserve">Market funding / Total liab</t>
  </si>
  <si>
    <t xml:space="preserve">Stable funding / Total funding</t>
  </si>
  <si>
    <t xml:space="preserve">SECTION A10 — CENTRALIZED ASSUMPTIONS (Fixes 3-15)</t>
  </si>
  <si>
    <t xml:space="preserve">Trading book growth (Base/Cut/NSFR)</t>
  </si>
  <si>
    <t xml:space="preserve">Effective tax rate</t>
  </si>
  <si>
    <t xml:space="preserve">French corporate tax rate — BNP Pillar 3 2025</t>
  </si>
  <si>
    <t xml:space="preserve">REPRICING BUCKET SPLITS — ASSET MATURITY SCHEDULE (% of loan book)</t>
  </si>
  <si>
    <t xml:space="preserve">Loans: % repricing overnight</t>
  </si>
  <si>
    <t xml:space="preserve">BCBS IRRBB 2016 / BNP floating rate book ~80%</t>
  </si>
  <si>
    <t xml:space="preserve">Loans: % repricing 0–3M</t>
  </si>
  <si>
    <t xml:space="preserve">90% of loans float on &lt;3M Euribor (= loan repricing beta Engine!C27)</t>
  </si>
  <si>
    <t xml:space="preserve">Loans: % repricing 3–6M</t>
  </si>
  <si>
    <t xml:space="preserve">2% fixed maturing 3-6M</t>
  </si>
  <si>
    <t xml:space="preserve">Loans: % repricing 6–12M</t>
  </si>
  <si>
    <t xml:space="preserve">3% fixed maturing 6-12M</t>
  </si>
  <si>
    <t xml:space="preserve">Loans: % repricing 1–2Y</t>
  </si>
  <si>
    <t xml:space="preserve">2% fixed maturing 1-2Y</t>
  </si>
  <si>
    <t xml:space="preserve">Loans: % repricing 2–5Y</t>
  </si>
  <si>
    <t xml:space="preserve">2% fixed maturing 2-5Y</t>
  </si>
  <si>
    <t xml:space="preserve">Loans: % repricing 5+Y</t>
  </si>
  <si>
    <t xml:space="preserve">1% fixed maturing 5+Y</t>
  </si>
  <si>
    <t xml:space="preserve">REPRICING BUCKET SPLITS — DEPOSIT BEHAVIOURAL MATURITY</t>
  </si>
  <si>
    <t xml:space="preserve">Deposits core: % in 0–3M bucket</t>
  </si>
  <si>
    <t xml:space="preserve">EBA/GL/2022/14 Table 2: NMD core bucket distribution</t>
  </si>
  <si>
    <t xml:space="preserve">Deposits core: % in 3–6M bucket</t>
  </si>
  <si>
    <t xml:space="preserve">Deposits core: % in 6–12M bucket</t>
  </si>
  <si>
    <t xml:space="preserve">Deposits core: % in 1–2Y bucket</t>
  </si>
  <si>
    <t xml:space="preserve">Deposits core: % in 2–5Y bucket</t>
  </si>
  <si>
    <t xml:space="preserve">Deposits core: % in 5+Y bucket</t>
  </si>
  <si>
    <t xml:space="preserve">DURATION WEIGHTS FOR PVBP/EVE (years — bucket midpoint)</t>
  </si>
  <si>
    <t xml:space="preserve">Duration: Overnight bucket</t>
  </si>
  <si>
    <t xml:space="preserve">EBA/GL/2022/14 Annex II — standard duration weights</t>
  </si>
  <si>
    <t xml:space="preserve">Duration: 0–3M bucket</t>
  </si>
  <si>
    <t xml:space="preserve">Duration: 3–6M bucket</t>
  </si>
  <si>
    <t xml:space="preserve">Duration: 6–12M bucket</t>
  </si>
  <si>
    <t xml:space="preserve">Duration: 1–2Y bucket</t>
  </si>
  <si>
    <t xml:space="preserve">Duration: 2–5Y bucket</t>
  </si>
  <si>
    <t xml:space="preserve">Duration: 5+Y bucket</t>
  </si>
  <si>
    <t xml:space="preserve">IRRBB floor adjustment factor (downward shocks)</t>
  </si>
  <si>
    <t xml:space="preserve">EBA/GL/2022/14 para 109: interest rate floor — 85% of shock applied</t>
  </si>
  <si>
    <t xml:space="preserve">LCR: CB reserves — excess proportion (subject to outflow)</t>
  </si>
  <si>
    <t xml:space="preserve">BNP internal assumption — ~15% of CB reserves above regulatory minimum</t>
  </si>
  <si>
    <t xml:space="preserve">RSF: % of customer loans with residual maturity &gt;1Y</t>
  </si>
  <si>
    <t xml:space="preserve">BNP loan book maturity profile — approx. 75% &gt;1Y per Pillar 3 2025</t>
  </si>
  <si>
    <t xml:space="preserve">RWA: Trading book market risk weight (standardised SA-TB)</t>
  </si>
  <si>
    <t xml:space="preserve">CRR Art.325 SA-TB — recalibrated to 15% (BNP actual ~7%, 30% was too high)</t>
  </si>
  <si>
    <t xml:space="preserve">CoR assumption: flat across forecast horizon (scenario-driven via Engine!G8)</t>
  </si>
  <si>
    <t xml:space="preserve">Intentionally flat — conservative. Override C193-C195 for year-specific if needed.</t>
  </si>
  <si>
    <t xml:space="preserve">Scenario NII helper — 2026F</t>
  </si>
  <si>
    <t xml:space="preserve">NII 2026F — Base</t>
  </si>
  <si>
    <t xml:space="preserve">NII 2026F — Rate Hike</t>
  </si>
  <si>
    <t xml:space="preserve">NII 2026F — Rate Cut</t>
  </si>
  <si>
    <t xml:space="preserve">NII 2026F — Stress</t>
  </si>
  <si>
    <t xml:space="preserve">NIM 2026F — Base</t>
  </si>
  <si>
    <t xml:space="preserve">NIM 2026F — Rate Hike</t>
  </si>
  <si>
    <t xml:space="preserve">NIM 2026F — Rate Cut</t>
  </si>
  <si>
    <t xml:space="preserve">NIM 2026F — Stress</t>
  </si>
  <si>
    <t xml:space="preserve">Loan yield 2026F — Base</t>
  </si>
  <si>
    <t xml:space="preserve">Loan yield 2026F — Rate Hike</t>
  </si>
  <si>
    <t xml:space="preserve">Loan yield 2026F — Rate Cut</t>
  </si>
  <si>
    <t xml:space="preserve">Loan yield 2026F — Stress</t>
  </si>
  <si>
    <t xml:space="preserve">Deposit cost 2026F — Base</t>
  </si>
  <si>
    <t xml:space="preserve">Deposit cost 2026F — Rate Hike</t>
  </si>
  <si>
    <t xml:space="preserve">Deposit cost 2026F — Rate Cut</t>
  </si>
  <si>
    <t xml:space="preserve">Deposit cost 2026F — Stress</t>
  </si>
  <si>
    <t xml:space="preserve">Net Income 2026F — Base</t>
  </si>
  <si>
    <t xml:space="preserve">Net Income 2026F — Rate Hike</t>
  </si>
  <si>
    <t xml:space="preserve">Net Income 2026F — Rate Cut</t>
  </si>
  <si>
    <t xml:space="preserve">Net Income 2026F — Stress</t>
  </si>
  <si>
    <t xml:space="preserve">SCENARIO COMPARISON HELPERS — CET1 / LCR / NSFR </t>
  </si>
  <si>
    <t xml:space="preserve">Retained Earnings 2026F — Base</t>
  </si>
  <si>
    <t xml:space="preserve">Retained Earnings 2026F — Rate Hike</t>
  </si>
  <si>
    <t xml:space="preserve">Retained Earnings 2026F — Rate Cut</t>
  </si>
  <si>
    <t xml:space="preserve">Retained Earnings 2026F — Stress</t>
  </si>
  <si>
    <t xml:space="preserve">Equity 2026F — Base</t>
  </si>
  <si>
    <t xml:space="preserve">Equity 2026F — Rate Hike</t>
  </si>
  <si>
    <t xml:space="preserve">Equity 2026F — Rate Cut</t>
  </si>
  <si>
    <t xml:space="preserve">Equity 2026F — Stress</t>
  </si>
  <si>
    <t xml:space="preserve">Loans 2026F — Base</t>
  </si>
  <si>
    <t xml:space="preserve">Loans 2026F — Rate Hike</t>
  </si>
  <si>
    <t xml:space="preserve">Loans 2026F — Rate Cut</t>
  </si>
  <si>
    <t xml:space="preserve">Loans 2026F — Stress</t>
  </si>
  <si>
    <t xml:space="preserve">Trading 2026F — Base</t>
  </si>
  <si>
    <t xml:space="preserve">Trading 2026F — Rate Hike</t>
  </si>
  <si>
    <t xml:space="preserve">Trading 2026F — Rate Cut</t>
  </si>
  <si>
    <t xml:space="preserve">Trading 2026F — Stress</t>
  </si>
  <si>
    <t xml:space="preserve">Securities 2026F — Base</t>
  </si>
  <si>
    <t xml:space="preserve">Securities 2026F — Rate Hike</t>
  </si>
  <si>
    <t xml:space="preserve">Securities 2026F — Rate Cut</t>
  </si>
  <si>
    <t xml:space="preserve">Securities 2026F — Stress</t>
  </si>
  <si>
    <t xml:space="preserve">RWA 2026F — Base</t>
  </si>
  <si>
    <t xml:space="preserve">RWA 2026F — Rate Hike</t>
  </si>
  <si>
    <t xml:space="preserve">RWA 2026F — Rate Cut</t>
  </si>
  <si>
    <t xml:space="preserve">RWA 2026F — Stress</t>
  </si>
  <si>
    <t xml:space="preserve">CET1 2026F — Base</t>
  </si>
  <si>
    <t xml:space="preserve">CET1 2026F — Rate Hike</t>
  </si>
  <si>
    <t xml:space="preserve">CET1 2026F — Rate Cut</t>
  </si>
  <si>
    <t xml:space="preserve">CET1 2026F — Stress</t>
  </si>
  <si>
    <t xml:space="preserve">IRRBB hedge offset factor (% of EVE exposure hedged)</t>
  </si>
  <si>
    <t xml:space="preserve">BNP Paribas Pillar 3 2025: substantial IRS hedge book offsets ~55% of banking book rate risk</t>
  </si>
  <si>
    <t xml:space="preserve">RSF: Trading assets (blended proxy)</t>
  </si>
  <si>
    <t xml:space="preserve">CRR Art.428ag: blended 20% — BNP trading mix: ~40% L1 sovereign (5%), ~30% derivatives (5-10%), ~30% other (50-85%). Parameterised in Engine.</t>
  </si>
  <si>
    <t xml:space="preserve">Other assets/liab scenario growth factor</t>
  </si>
  <si>
    <t xml:space="preserve">Base=1%, Hike=1.5%, Cut=0.5%, Stress=-1%. Simplifying assumption.</t>
  </si>
  <si>
    <t xml:space="preserve">BNP PARIBAS — ALM Model | Calculations | All figures EUR millions</t>
  </si>
  <si>
    <t xml:space="preserve">B — Asset / Liability</t>
  </si>
  <si>
    <t xml:space="preserve">Balance (€m)</t>
  </si>
  <si>
    <t xml:space="preserve">Rate</t>
  </si>
  <si>
    <t xml:space="preserve">Interest (€m)</t>
  </si>
  <si>
    <t xml:space="preserve">Cash &amp; CB reserves (earns ECB DFR rate — NOT loan rate)</t>
  </si>
  <si>
    <t xml:space="preserve">Securities portfolio</t>
  </si>
  <si>
    <t xml:space="preserve">Total Interest Income</t>
  </si>
  <si>
    <t xml:space="preserve">B — Liability</t>
  </si>
  <si>
    <t xml:space="preserve">Interest Cost (€m)</t>
  </si>
  <si>
    <t xml:space="preserve">Total Interest Expense</t>
  </si>
  <si>
    <t xml:space="preserve">★ NET INTEREST INCOME</t>
  </si>
  <si>
    <t xml:space="preserve">Average earning assets (see guide for formula)</t>
  </si>
  <si>
    <t xml:space="preserve">NIM </t>
  </si>
  <si>
    <t xml:space="preserve">B — P&amp;L Line</t>
  </si>
  <si>
    <t xml:space="preserve">Operating Expenses </t>
  </si>
  <si>
    <t xml:space="preserve">Gross Operating Income</t>
  </si>
  <si>
    <t xml:space="preserve">Provisions / CoR </t>
  </si>
  <si>
    <t xml:space="preserve">Pre-Tax Income</t>
  </si>
  <si>
    <t xml:space="preserve">Income Tax (25%)</t>
  </si>
  <si>
    <t xml:space="preserve">Dividend (60% payout)</t>
  </si>
  <si>
    <t xml:space="preserve">Retained Earnings</t>
  </si>
  <si>
    <t xml:space="preserve">ROA </t>
  </si>
  <si>
    <t xml:space="preserve">CIR check </t>
  </si>
  <si>
    <t xml:space="preserve">B — Time Bucket</t>
  </si>
  <si>
    <t xml:space="preserve">Assets (€m)</t>
  </si>
  <si>
    <t xml:space="preserve">Liabilities (€m)</t>
  </si>
  <si>
    <t xml:space="preserve">GAP</t>
  </si>
  <si>
    <t xml:space="preserve">Cum. GAP</t>
  </si>
  <si>
    <t xml:space="preserve">ΔNii per 100bps</t>
  </si>
  <si>
    <t xml:space="preserve">Overnight</t>
  </si>
  <si>
    <t xml:space="preserve">0–3 Months</t>
  </si>
  <si>
    <t xml:space="preserve">3–6 Months</t>
  </si>
  <si>
    <t xml:space="preserve">6–12 Months</t>
  </si>
  <si>
    <t xml:space="preserve">1–2 Years</t>
  </si>
  <si>
    <t xml:space="preserve">2–5 Years</t>
  </si>
  <si>
    <t xml:space="preserve">5+ Years</t>
  </si>
  <si>
    <t xml:space="preserve">Total/Check</t>
  </si>
  <si>
    <t xml:space="preserve">Asset Check</t>
  </si>
  <si>
    <t xml:space="preserve">B — Item</t>
  </si>
  <si>
    <t xml:space="preserve">NII View (12M)</t>
  </si>
  <si>
    <t xml:space="preserve">EVE View (Full BS)</t>
  </si>
  <si>
    <t xml:space="preserve">Rate-sensitive assets</t>
  </si>
  <si>
    <t xml:space="preserve">Rate-sensitive liabilities</t>
  </si>
  <si>
    <t xml:space="preserve">IRRBB GAP</t>
  </si>
  <si>
    <t xml:space="preserve">Regulatory Metrics</t>
  </si>
  <si>
    <t xml:space="preserve">Total PVBP (€m per 1bp)</t>
  </si>
  <si>
    <t xml:space="preserve">B — Shock Scenario</t>
  </si>
  <si>
    <t xml:space="preserve">NII Impact (€m)</t>
  </si>
  <si>
    <t xml:space="preserve">EVE Impact (€m)</t>
  </si>
  <si>
    <t xml:space="preserve">Parallel Up +200bps</t>
  </si>
  <si>
    <t xml:space="preserve">Parallel Down -200bps</t>
  </si>
  <si>
    <t xml:space="preserve">Steepener</t>
  </si>
  <si>
    <t xml:space="preserve">Flattener</t>
  </si>
  <si>
    <t xml:space="preserve">Worst EVE Scenario</t>
  </si>
  <si>
    <t xml:space="preserve">€m — absolute worst EVE impact</t>
  </si>
  <si>
    <t xml:space="preserve">Worst NII Scenario</t>
  </si>
  <si>
    <t xml:space="preserve">€m — absolute worst NII impact</t>
  </si>
  <si>
    <t xml:space="preserve">SECTION 5 — LCR | DELEGATED REGULATION (EU) 2022/786</t>
  </si>
  <si>
    <t xml:space="preserve">Amount (€m)</t>
  </si>
  <si>
    <t xml:space="preserve">Level 1: Cash &amp; CB reserves</t>
  </si>
  <si>
    <t xml:space="preserve">Level 1: Government bonds</t>
  </si>
  <si>
    <t xml:space="preserve">Level 2A: Corporate bonds</t>
  </si>
  <si>
    <t xml:space="preserve">FVOCI equity</t>
  </si>
  <si>
    <t xml:space="preserve">TOTAL HQLA</t>
  </si>
  <si>
    <t xml:space="preserve">30-Day Outflows</t>
  </si>
  <si>
    <t xml:space="preserve">Retail deposits — stable</t>
  </si>
  <si>
    <t xml:space="preserve">Retail deposits — less stable</t>
  </si>
  <si>
    <t xml:space="preserve">Wholesale non-operational</t>
  </si>
  <si>
    <t xml:space="preserve">Interbank (fin. inst.)</t>
  </si>
  <si>
    <t xml:space="preserve">Repo — Level 1 collateral</t>
  </si>
  <si>
    <t xml:space="preserve">Repo — Level 2A collateral</t>
  </si>
  <si>
    <t xml:space="preserve">CB deposits (excess reserves)</t>
  </si>
  <si>
    <t xml:space="preserve">Undrawn commitments to corporates</t>
  </si>
  <si>
    <t xml:space="preserve">Total Outflows (C90: =SUM(C82:C89))</t>
  </si>
  <si>
    <t xml:space="preserve">30-Day Inflows + LCR Ratio</t>
  </si>
  <si>
    <t xml:space="preserve">Loan inflows</t>
  </si>
  <si>
    <t xml:space="preserve">Securities inflows</t>
  </si>
  <si>
    <t xml:space="preserve">Total Inflows (C95: =SUM(C93:C94))</t>
  </si>
  <si>
    <t xml:space="preserve">Inflow cap 75%</t>
  </si>
  <si>
    <t xml:space="preserve">Net Outflows</t>
  </si>
  <si>
    <t xml:space="preserve">★ LCR RATIO</t>
  </si>
  <si>
    <t xml:space="preserve">SECTION 6 — NSFR | CRR ART. 428a-428at</t>
  </si>
  <si>
    <t xml:space="preserve">[Note] ASF and RSF per CRR Art.428a-428at. Trading assets RSF (50% blended, Engine!C261) added to Total RSF. Insurance assets at 100% RSF per CRR Art.428ab.</t>
  </si>
  <si>
    <t xml:space="preserve">Available Stable Funding (ASF)</t>
  </si>
  <si>
    <t xml:space="preserve">Equity (100% ASF)</t>
  </si>
  <si>
    <t xml:space="preserve">Retail deposits — stable (90%)</t>
  </si>
  <si>
    <t xml:space="preserve">Retail deposits — less stable (80%)</t>
  </si>
  <si>
    <t xml:space="preserve">Bonds issued (50%)</t>
  </si>
  <si>
    <t xml:space="preserve">Sub debt blended (50%)</t>
  </si>
  <si>
    <t xml:space="preserve">Interbank &lt; 6M (0%)</t>
  </si>
  <si>
    <t xml:space="preserve">Repo — Level 1 (10%)</t>
  </si>
  <si>
    <t xml:space="preserve">CB deposits (0%)</t>
  </si>
  <si>
    <t xml:space="preserve">Total ASF</t>
  </si>
  <si>
    <t xml:space="preserve">Required Stable Funding (RSF)</t>
  </si>
  <si>
    <t xml:space="preserve">Loans (&gt;1Y @85% RSF + &lt;1Y @50% RSF)</t>
  </si>
  <si>
    <t xml:space="preserve">Gov bonds — Level 1 (5% RSF)</t>
  </si>
  <si>
    <t xml:space="preserve">Corp bonds — Level 2A (15% RSF)</t>
  </si>
  <si>
    <t xml:space="preserve">Insurance assets WARNING: 100% RSF</t>
  </si>
  <si>
    <t xml:space="preserve">Interbank loans — short term (10%)</t>
  </si>
  <si>
    <t xml:space="preserve">Cash (0% RSF)</t>
  </si>
  <si>
    <t xml:space="preserve">Total RSF</t>
  </si>
  <si>
    <t xml:space="preserve">★ NSFR RATIO</t>
  </si>
  <si>
    <t xml:space="preserve">B — Metric</t>
  </si>
  <si>
    <t xml:space="preserve">2028F Notes</t>
  </si>
  <si>
    <t xml:space="preserve">RWA</t>
  </si>
  <si>
    <t xml:space="preserve">CET1 Ratio (target ≥13.5%)</t>
  </si>
  <si>
    <t xml:space="preserve">Leverage Ratio (target ≥3.0%)</t>
  </si>
  <si>
    <t xml:space="preserve">CET1 Buffer above MDA trigger</t>
  </si>
  <si>
    <t xml:space="preserve">SECTION 8 — NIM TREND | 2024A–2028F</t>
  </si>
  <si>
    <t xml:space="preserve">Average Earning Assets</t>
  </si>
  <si>
    <t xml:space="preserve">NII</t>
  </si>
  <si>
    <t xml:space="preserve">NIM (format as % 2dp)</t>
  </si>
  <si>
    <t xml:space="preserve">B — Ratio</t>
  </si>
  <si>
    <t xml:space="preserve">Minimum</t>
  </si>
  <si>
    <t xml:space="preserve">NIM (%)</t>
  </si>
  <si>
    <t xml:space="preserve">CET1 (%)</t>
  </si>
  <si>
    <t xml:space="preserve">13.5%</t>
  </si>
  <si>
    <t xml:space="preserve">Leverage (%)</t>
  </si>
  <si>
    <t xml:space="preserve">3.0%</t>
  </si>
  <si>
    <t xml:space="preserve">LCR (%)</t>
  </si>
  <si>
    <t xml:space="preserve">100%</t>
  </si>
  <si>
    <t xml:space="preserve">NSFR (x)</t>
  </si>
  <si>
    <t xml:space="preserve">1.00x</t>
  </si>
  <si>
    <t xml:space="preserve">Net Income (€m)</t>
  </si>
  <si>
    <t xml:space="preserve">CoR (bps)</t>
  </si>
  <si>
    <t xml:space="preserve">[Note] METHOD: Set Engine!C7=1 → record all metric values in Base column. Set C5=2 → record Rate Hike. C5=3 → Rate Cut. C5=4 → Stress. Delta columns = scenario value minus Base. Red = worse than Base.</t>
  </si>
  <si>
    <t xml:space="preserve">Base (1)</t>
  </si>
  <si>
    <t xml:space="preserve">Rate Hike (2)</t>
  </si>
  <si>
    <t xml:space="preserve">Rate Cut (3)</t>
  </si>
  <si>
    <t xml:space="preserve">Stress (4)</t>
  </si>
  <si>
    <t xml:space="preserve">Δ Hike</t>
  </si>
  <si>
    <t xml:space="preserve">Δ Cut</t>
  </si>
  <si>
    <t xml:space="preserve">Δ Stress</t>
  </si>
  <si>
    <t xml:space="preserve">NII (€m)</t>
  </si>
  <si>
    <t xml:space="preserve">Loan yield (%)</t>
  </si>
  <si>
    <t xml:space="preserve">Deposit cost (%)</t>
  </si>
  <si>
    <t xml:space="preserve">Switch scenario to compare</t>
  </si>
  <si>
    <t xml:space="preserve">EVE / Tier1 (%)</t>
  </si>
  <si>
    <t xml:space="preserve">NII/NIM/Loan yield/Dep cost/Net Income: computed per-scenario via Engine helpers. CET1: formula-driven via Engine rows 254-257. LCR/NSFR: live model (switch scenario). EVE: hedge-adjusted.</t>
  </si>
  <si>
    <t xml:space="preserve">SECTION 11 — NIM SENSITIVITY | ECB Rate vs Deposit Beta | Excel Data Table</t>
  </si>
  <si>
    <t xml:space="preserve">EBA/GL/2022/14 para 116 — NIM sensitivity &gt;5% triggers supervisory review</t>
  </si>
  <si>
    <t xml:space="preserve">SECTION 12 — MONTHLY NII SIMULATION | 12-MONTH FORWARD | EBA/GL/2022/14</t>
  </si>
  <si>
    <t xml:space="preserve">2026 monthly ECB DFR assumption</t>
  </si>
  <si>
    <t xml:space="preserve">Month</t>
  </si>
  <si>
    <t xml:space="preserve">Loan bal (€m)</t>
  </si>
  <si>
    <t xml:space="preserve">Loan rate</t>
  </si>
  <si>
    <t xml:space="preserve">Loan income (€m)</t>
  </si>
  <si>
    <t xml:space="preserve">Dep bal (€m)</t>
  </si>
  <si>
    <t xml:space="preserve">Dep rate</t>
  </si>
  <si>
    <t xml:space="preserve">Dep cost (€m)</t>
  </si>
  <si>
    <t xml:space="preserve">Monthly NII (€m)</t>
  </si>
  <si>
    <t xml:space="preserve">Cumulative NII (€m)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</si>
  <si>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</si>
  <si>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</si>
  <si>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</si>
  <si>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</si>
  <si>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</si>
  <si>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</si>
  <si>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</si>
  <si>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</si>
  <si>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</si>
  <si>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</si>
  <si>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</si>
  <si>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</si>
  <si>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Full-year NII 2026F (monthly model)</t>
  </si>
  <si>
    <t xml:space="preserve">Reconciliation vs annual model</t>
  </si>
  <si>
    <t xml:space="preserve">Variance (should be &lt;1%)</t>
  </si>
  <si>
    <t xml:space="preserve">Variance reflects structural scope gap: Section 12 is a loans+deposits proportionality sub-model per EBA/GL/2022/14. Full NII (Section 2) includes all asset/liability classes. Variance &lt;1% = acceptable.</t>
  </si>
  <si>
    <t xml:space="preserve">Time bucket</t>
  </si>
  <si>
    <t xml:space="preserve">Asset maturities (€m)</t>
  </si>
  <si>
    <t xml:space="preserve">Liability maturities (€m)</t>
  </si>
  <si>
    <t xml:space="preserve">Net gap (€m)</t>
  </si>
  <si>
    <t xml:space="preserve">Cumulative gap (€m)</t>
  </si>
  <si>
    <t xml:space="preserve">HQLA available (€m)</t>
  </si>
  <si>
    <t xml:space="preserve">Survival indicator</t>
  </si>
  <si>
    <t xml:space="preserve">1 Day</t>
  </si>
  <si>
    <t xml:space="preserve">1 Week</t>
  </si>
  <si>
    <t xml:space="preserve">1 Month</t>
  </si>
  <si>
    <t xml:space="preserve">3 Months</t>
  </si>
  <si>
    <t xml:space="preserve">6 Months</t>
  </si>
  <si>
    <t xml:space="preserve">1 Year</t>
  </si>
  <si>
    <t xml:space="preserve">2 Year+</t>
  </si>
  <si>
    <t xml:space="preserve">Survival horizon</t>
  </si>
  <si>
    <t xml:space="preserve">Minimum cumulative gap (€m)</t>
  </si>
  <si>
    <t xml:space="preserve">HQLA coverage of worst bucket (%)</t>
  </si>
  <si>
    <t xml:space="preserve">Regulatory basis: EBA/GL/2014/35 — liquidity stress testing guidelines</t>
  </si>
  <si>
    <t xml:space="preserve">Repricing GAP (€m)</t>
  </si>
  <si>
    <t xml:space="preserve">Duration weight (yrs)</t>
  </si>
  <si>
    <t xml:space="preserve">PVBP (€m per 1bp)</t>
  </si>
  <si>
    <t xml:space="preserve">Cumulative PVBP</t>
  </si>
  <si>
    <t xml:space="preserve">% of total PVBP</t>
  </si>
  <si>
    <t xml:space="preserve">5Y+</t>
  </si>
  <si>
    <t xml:space="preserve">net / hedged EVE impact +100bps (€m)</t>
  </si>
  <si>
    <t xml:space="preserve">EVE impact +200bps (€m)</t>
  </si>
  <si>
    <t xml:space="preserve">EVE / Tier 1 Capital (%)</t>
  </si>
  <si>
    <t xml:space="preserve">Outlier test (&gt;15% = breach)</t>
  </si>
  <si>
    <t xml:space="preserve">Section 4 EVE reconciliation</t>
  </si>
  <si>
    <t xml:space="preserve">PVBP method per EBA/GL/2022/14 Annex II. Duration weights are simplified mid-point approximations. For Pillar 3 disclosure, use full cashflow discounting per CRR Art.448.</t>
  </si>
  <si>
    <t xml:space="preserve">SECTION 15 — FUND TRANSFER PRICING CURVE | INTERNAL ALM PRICING</t>
  </si>
  <si>
    <t xml:space="preserve">Tenor</t>
  </si>
  <si>
    <t xml:space="preserve">Base rate</t>
  </si>
  <si>
    <t xml:space="preserve">Liquidity premium (bps)</t>
  </si>
  <si>
    <t xml:space="preserve">FTP rate</t>
  </si>
  <si>
    <t xml:space="preserve">2 Year</t>
  </si>
  <si>
    <t xml:space="preserve">5 Year</t>
  </si>
  <si>
    <t xml:space="preserve">10 Year</t>
  </si>
  <si>
    <t xml:space="preserve">WORKED EXAMPLE 1 — Mortgage book FTP analysis (5Y fixed, 2026F)</t>
  </si>
  <si>
    <t xml:space="preserve">Product rate (customer)</t>
  </si>
  <si>
    <t xml:space="preserve">4.50% mortgage rate</t>
  </si>
  <si>
    <t xml:space="preserve">FTP charge at 5Y tenor</t>
  </si>
  <si>
    <t xml:space="preserve">5Y FTP rate from curve above</t>
  </si>
  <si>
    <t xml:space="preserve">Customer NIM after FTP</t>
  </si>
  <si>
    <t xml:space="preserve">Margin mortgage desk retains after paying ALM desk for funding</t>
  </si>
  <si>
    <t xml:space="preserve">Mortgage book balance (€m)</t>
  </si>
  <si>
    <t xml:space="preserve">Assume 30% of loan book is 5Y fixed mortgage</t>
  </si>
  <si>
    <t xml:space="preserve">NII contribution (€m)</t>
  </si>
  <si>
    <t xml:space="preserve">Mortgage desk NII after FTP</t>
  </si>
  <si>
    <t xml:space="preserve">WORKED EXAMPLE 2 — Retail deposit FTP credit analysis (overnight/NMD, 2026F)</t>
  </si>
  <si>
    <t xml:space="preserve">Deposit rate paid to customer</t>
  </si>
  <si>
    <t xml:space="preserve">Rate paid out on deposits</t>
  </si>
  <si>
    <t xml:space="preserve">FTP credit received from ALM desk</t>
  </si>
  <si>
    <t xml:space="preserve">Overnight FTP = ECB DFR</t>
  </si>
  <si>
    <t xml:space="preserve">Deposit franchise margin</t>
  </si>
  <si>
    <t xml:space="preserve">Margin deposit desk earns: funds bank at deposit rate, receives FTP credit at overnight rate</t>
  </si>
  <si>
    <t xml:space="preserve">Deposit balance (€m)</t>
  </si>
  <si>
    <t xml:space="preserve">Total customer deposits</t>
  </si>
  <si>
    <t xml:space="preserve">Deposit desk NII after FTP</t>
  </si>
  <si>
    <t xml:space="preserve">Total bank NII check: Mortgage NII + Deposit NII + other books = Total NII (Section 2)</t>
  </si>
  <si>
    <t xml:space="preserve">FTP methodology per Basel Committee BCBS 239 / EBA internal governance guidelines. Liquidity premium should be calibrated to the bank's own CDS spread and funding market conditions. BNP Paribas 5Y CDS ~55bps as at 2025A.</t>
  </si>
  <si>
    <t xml:space="preserve">VALIDATION CHECKS</t>
  </si>
  <si>
    <t xml:space="preserve">Check</t>
  </si>
  <si>
    <t xml:space="preserve">Formula</t>
  </si>
  <si>
    <t xml:space="preserve">Result</t>
  </si>
  <si>
    <t xml:space="preserve">Status</t>
  </si>
  <si>
    <t xml:space="preserve">PVBP EVE +200bps vs Section 4 EVE (methodological gap expected)</t>
  </si>
  <si>
    <t xml:space="preserve">Monthly loan/dep NII vs full annual NII (structural gap expected — S12 excludes cash/securities/IB/repo income)</t>
  </si>
  <si>
    <t xml:space="preserve">Survival horizon not 1D or 1W</t>
  </si>
  <si>
    <t xml:space="preserve">FTP curve upward-sloping (10Y &gt; overnight)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</si>
</sst>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"/>
    <numFmt numFmtId="166" formatCode="0.00%"/>
    <numFmt numFmtId="167" formatCode="0.0%"/>
    <numFmt numFmtId="168" formatCode="0.00\x"/>
    <numFmt numFmtId="169" formatCode="0"/>
    <numFmt numFmtId="170" formatCode="\+0.00%;\-0.00%"/>
    <numFmt numFmtId="171" formatCode="\+0.0%;\-0.0%"/>
    <numFmt numFmtId="172" formatCode="\+0%;\-0%"/>
    <numFmt numFmtId="173" formatCode="\+0.00;\-0.00"/>
    <numFmt numFmtId="174" formatCode="@"/>
    <numFmt numFmtId="175" formatCode="#,##0"/>
    <numFmt numFmtId="176" formatCode="0.0"/>
    <numFmt numFmtId="177" formatCode="0.00"/>
    <numFmt numFmtId="178" formatCode="\+0.00%;\-0.00%;\-"/>
    <numFmt numFmtId="179" formatCode="d\-mmm\-yy"/>
    <numFmt numFmtId="180" formatCode="#,##0.00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2"/>
      <color rgb="FFB8D4C8"/>
      <name val="Calibri"/>
      <family val="0"/>
      <charset val="1"/>
    </font>
    <font>
      <sz val="9"/>
      <color rgb="FF99C2A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006B42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b val="true"/>
      <u val="single"/>
      <sz val="10"/>
      <color rgb="FF006B42"/>
      <name val="Calibri"/>
      <family val="0"/>
      <charset val="1"/>
    </font>
    <font>
      <b val="true"/>
      <sz val="14"/>
      <color rgb="FF006B42"/>
      <name val="Calibri"/>
      <family val="0"/>
      <charset val="1"/>
    </font>
    <font>
      <u val="single"/>
      <sz val="10"/>
      <color rgb="FF006B42"/>
      <name val="Calibri"/>
      <family val="0"/>
      <charset val="1"/>
    </font>
    <font>
      <sz val="9"/>
      <color rgb="FF666666"/>
      <name val="Calibri"/>
      <family val="0"/>
      <charset val="1"/>
    </font>
    <font>
      <sz val="8"/>
      <color rgb="FF99999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7"/>
      <color rgb="FF999999"/>
      <name val="Calibri"/>
      <family val="0"/>
      <charset val="1"/>
    </font>
    <font>
      <b val="true"/>
      <sz val="8"/>
      <color rgb="FF666666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sz val="9"/>
      <color rgb="FF99999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C62828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4A148C"/>
      <name val="Calibri"/>
      <family val="0"/>
      <charset val="1"/>
    </font>
    <font>
      <sz val="9"/>
      <color rgb="FFC62828"/>
      <name val="Calibri"/>
      <family val="0"/>
      <charset val="1"/>
    </font>
    <font>
      <sz val="9"/>
      <color rgb="FF757575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C62828"/>
      <name val="Calibri"/>
      <family val="0"/>
      <charset val="1"/>
    </font>
    <font>
      <b val="true"/>
      <sz val="9"/>
      <color rgb="FFC62828"/>
      <name val="Calibri"/>
      <family val="0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sz val="10"/>
      <color rgb="FFC62828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6B42"/>
        <bgColor rgb="FF1B5E20"/>
      </patternFill>
    </fill>
    <fill>
      <patternFill patternType="solid">
        <fgColor rgb="FFF2F4F7"/>
        <bgColor rgb="FFF5F5F5"/>
      </patternFill>
    </fill>
    <fill>
      <patternFill patternType="solid">
        <fgColor rgb="FFFFFFFF"/>
        <bgColor rgb="FFFEFCE8"/>
      </patternFill>
    </fill>
    <fill>
      <patternFill patternType="solid">
        <fgColor rgb="FFE8EBF0"/>
        <bgColor rgb="FFE3F2FD"/>
      </patternFill>
    </fill>
    <fill>
      <patternFill patternType="solid">
        <fgColor rgb="FFFEFCE8"/>
        <bgColor rgb="FFFFFFFF"/>
      </patternFill>
    </fill>
    <fill>
      <patternFill patternType="solid">
        <fgColor rgb="FFE0E0E0"/>
        <bgColor rgb="FFD9D9D9"/>
      </patternFill>
    </fill>
    <fill>
      <patternFill patternType="solid">
        <fgColor rgb="FFFFEBEE"/>
        <bgColor rgb="FFF2F2F2"/>
      </patternFill>
    </fill>
    <fill>
      <patternFill patternType="solid">
        <fgColor rgb="FFE8F5EF"/>
        <bgColor rgb="FFEBF5FB"/>
      </patternFill>
    </fill>
    <fill>
      <patternFill patternType="solid">
        <fgColor rgb="FFEBF5FB"/>
        <bgColor rgb="FFF2F4F7"/>
      </patternFill>
    </fill>
    <fill>
      <patternFill patternType="solid">
        <fgColor rgb="FFF5F5F5"/>
        <bgColor rgb="FFF2F4F7"/>
      </patternFill>
    </fill>
    <fill>
      <patternFill patternType="solid">
        <fgColor rgb="FFE3F2FD"/>
        <bgColor rgb="FFEBF5FB"/>
      </patternFill>
    </fill>
    <fill>
      <patternFill patternType="solid">
        <fgColor rgb="FFF2F2F2"/>
        <bgColor rgb="FFF2F4F7"/>
      </patternFill>
    </fill>
    <fill>
      <patternFill patternType="solid">
        <fgColor rgb="FFF9A825"/>
        <bgColor rgb="FFF5A623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/>
      <bottom style="thin">
        <color rgb="FF006B42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006B42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/>
      <bottom style="medium">
        <color rgb="FF00965E"/>
      </bottom>
      <diagonal/>
    </border>
    <border diagonalUp="false" diagonalDown="false">
      <left/>
      <right style="thin">
        <color rgb="FFCCCCCC"/>
      </right>
      <top/>
      <bottom style="thin">
        <color rgb="FFD0D0D0"/>
      </bottom>
      <diagonal/>
    </border>
    <border diagonalUp="false" diagonalDown="false">
      <left/>
      <right/>
      <top style="medium">
        <color rgb="FF00965E"/>
      </top>
      <bottom/>
      <diagonal/>
    </border>
    <border diagonalUp="false" diagonalDown="false">
      <left style="thin">
        <color rgb="FF00965E"/>
      </left>
      <right style="thin">
        <color rgb="FF00965E"/>
      </right>
      <top style="thin">
        <color rgb="FF00965E"/>
      </top>
      <bottom style="thin">
        <color rgb="FF00965E"/>
      </bottom>
      <diagonal/>
    </border>
    <border diagonalUp="false" diagonalDown="false">
      <left/>
      <right style="thin">
        <color rgb="FF00965E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3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2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2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11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1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4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0E0E0"/>
      <rgbColor rgb="FFFF00FF"/>
      <rgbColor rgb="FF00FFFF"/>
      <rgbColor rgb="FF800000"/>
      <rgbColor rgb="FF008000"/>
      <rgbColor rgb="FF000080"/>
      <rgbColor rgb="FF8AA64F"/>
      <rgbColor rgb="FF800080"/>
      <rgbColor rgb="FF00915A"/>
      <rgbColor rgb="FFBFBFBF"/>
      <rgbColor rgb="FF757575"/>
      <rgbColor rgb="FF99C2AD"/>
      <rgbColor rgb="FFAB4744"/>
      <rgbColor rgb="FFFEFCE8"/>
      <rgbColor rgb="FFE3F2FD"/>
      <rgbColor rgb="FF4A148C"/>
      <rgbColor rgb="FFE8EBF0"/>
      <rgbColor rgb="FF2E7D32"/>
      <rgbColor rgb="FFD0D0D0"/>
      <rgbColor rgb="FF000080"/>
      <rgbColor rgb="FFFF00FF"/>
      <rgbColor rgb="FFFFEBEE"/>
      <rgbColor rgb="FF00FFFF"/>
      <rgbColor rgb="FF800080"/>
      <rgbColor rgb="FF800000"/>
      <rgbColor rgb="FF00965E"/>
      <rgbColor rgb="FF0000FF"/>
      <rgbColor rgb="FF00CCFF"/>
      <rgbColor rgb="FFE8F5EF"/>
      <rgbColor rgb="FFEBF5FB"/>
      <rgbColor rgb="FFF5F5F5"/>
      <rgbColor rgb="FFB8D4C8"/>
      <rgbColor rgb="FFCCCCCC"/>
      <rgbColor rgb="FFB3B3B3"/>
      <rgbColor rgb="FFD9D9D9"/>
      <rgbColor rgb="FF4F81BD"/>
      <rgbColor rgb="FFF2F4F7"/>
      <rgbColor rgb="FFF2F2F2"/>
      <rgbColor rgb="FFF9A825"/>
      <rgbColor rgb="FFF5A623"/>
      <rgbColor rgb="FFFF6600"/>
      <rgbColor rgb="FF725990"/>
      <rgbColor rgb="FF999999"/>
      <rgbColor rgb="FF006B42"/>
      <rgbColor rgb="FF388E3C"/>
      <rgbColor rgb="FF003300"/>
      <rgbColor rgb="FF1B5E20"/>
      <rgbColor rgb="FFC62828"/>
      <rgbColor rgb="FFCC3333"/>
      <rgbColor rgb="FF6666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NII &amp; Net Income — 2025A to 2028F (€m)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Dashboard!B37</c:f>
              <c:strCache>
                <c:ptCount val="1"/>
                <c:pt idx="0">
                  <c:v>Net Interest Income</c:v>
                </c:pt>
              </c:strCache>
            </c:strRef>
          </c:tx>
          <c:spPr>
            <a:solidFill>
              <a:srgbClr val="006b4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Dashboard!$C$36:$F$36</c:f>
              <c:strCache>
                <c:ptCount val="4"/>
                <c:pt idx="0">
                  <c:v>2025A</c:v>
                </c:pt>
                <c:pt idx="1">
                  <c:v>2026F</c:v>
                </c:pt>
                <c:pt idx="2">
                  <c:v>2027F</c:v>
                </c:pt>
                <c:pt idx="3">
                  <c:v>2028F</c:v>
                </c:pt>
              </c:strCache>
            </c:strRef>
          </c:cat>
          <c:val>
            <c:numRef>
              <c:f>Dashboard!$C$37:$F$37</c:f>
              <c:numCache>
                <c:formatCode>#,##0</c:formatCode>
                <c:ptCount val="4"/>
                <c:pt idx="0">
                  <c:v>22085.25245</c:v>
                </c:pt>
                <c:pt idx="1">
                  <c:v>22685.668548311</c:v>
                </c:pt>
                <c:pt idx="2">
                  <c:v>23224.9233783616</c:v>
                </c:pt>
                <c:pt idx="3">
                  <c:v>24295.9454104467</c:v>
                </c:pt>
              </c:numCache>
            </c:numRef>
          </c:val>
        </c:ser>
        <c:ser>
          <c:idx val="1"/>
          <c:order val="1"/>
          <c:tx>
            <c:strRef>
              <c:f>Dashboard!B42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00915a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Dashboard!$C$36:$F$36</c:f>
              <c:strCache>
                <c:ptCount val="4"/>
                <c:pt idx="0">
                  <c:v>2025A</c:v>
                </c:pt>
                <c:pt idx="1">
                  <c:v>2026F</c:v>
                </c:pt>
                <c:pt idx="2">
                  <c:v>2027F</c:v>
                </c:pt>
                <c:pt idx="3">
                  <c:v>2028F</c:v>
                </c:pt>
              </c:strCache>
            </c:strRef>
          </c:cat>
          <c:val>
            <c:numRef>
              <c:f>Dashboard!$C$42:$F$42</c:f>
              <c:numCache>
                <c:formatCode>#,##0</c:formatCode>
                <c:ptCount val="4"/>
                <c:pt idx="0">
                  <c:v>10979.74737825</c:v>
                </c:pt>
                <c:pt idx="1">
                  <c:v>11193.5414789974</c:v>
                </c:pt>
                <c:pt idx="2">
                  <c:v>11390.3188287327</c:v>
                </c:pt>
                <c:pt idx="3">
                  <c:v>11739.1978100207</c:v>
                </c:pt>
              </c:numCache>
            </c:numRef>
          </c:val>
        </c:ser>
        <c:gapWidth val="150"/>
        <c:overlap val="0"/>
        <c:axId val="82987208"/>
        <c:axId val="47920825"/>
      </c:barChart>
      <c:catAx>
        <c:axId val="8298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20825"/>
        <c:crosses val="autoZero"/>
        <c:auto val="1"/>
        <c:lblAlgn val="ctr"/>
        <c:lblOffset val="100"/>
        <c:noMultiLvlLbl val="0"/>
      </c:catAx>
      <c:valAx>
        <c:axId val="47920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872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CET1 Ratio vs Regulatory Minimum — 2025A to 2028F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"CET1 Ratio"</c:f>
              <c:strCache>
                <c:ptCount val="1"/>
                <c:pt idx="0">
                  <c:v>CET1 Ratio</c:v>
                </c:pt>
              </c:strCache>
            </c:strRef>
          </c:tx>
          <c:spPr>
            <a:solidFill>
              <a:srgbClr val="006b42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Dashboard!$D$57</c:f>
              <c:numCache>
                <c:formatCode>0.0%</c:formatCode>
                <c:ptCount val="1"/>
                <c:pt idx="0">
                  <c:v>0.157455945173171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Dashboard!$E$57</c:f>
              <c:numCache>
                <c:formatCode>0.0%</c:formatCode>
                <c:ptCount val="1"/>
                <c:pt idx="0">
                  <c:v>0.158796558254004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Dashboard!$F$57</c:f>
              <c:numCache>
                <c:formatCode>0.0%</c:formatCode>
                <c:ptCount val="1"/>
                <c:pt idx="0">
                  <c:v>0.16004729216555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Dashboard!$G$57</c:f>
              <c:numCache>
                <c:formatCode>0.0%</c:formatCode>
                <c:ptCount val="1"/>
                <c:pt idx="0">
                  <c:v>0.16127586668761</c:v>
                </c:pt>
              </c:numCache>
            </c:numRef>
          </c:val>
        </c:ser>
        <c:gapWidth val="150"/>
        <c:overlap val="0"/>
        <c:axId val="41157372"/>
        <c:axId val="12623201"/>
      </c:barChart>
      <c:lineChart>
        <c:grouping val="standard"/>
        <c:varyColors val="0"/>
        <c:ser>
          <c:idx val="4"/>
          <c:order val="4"/>
          <c:tx>
            <c:strRef>
              <c:f>"Regulatory Min. (13.5%)"</c:f>
              <c:strCache>
                <c:ptCount val="1"/>
                <c:pt idx="0">
                  <c:v>Regulatory Min. (13.5%)</c:v>
                </c:pt>
              </c:strCache>
            </c:strRef>
          </c:tx>
          <c:spPr>
            <a:solidFill>
              <a:srgbClr val="cc3333"/>
            </a:solidFill>
            <a:ln w="20160">
              <a:solidFill>
                <a:srgbClr val="cc3333"/>
              </a:solidFill>
              <a:prstDash val="dash"/>
              <a:round/>
            </a:ln>
          </c:spPr>
          <c:marker>
            <c:symbol val="none"/>
          </c:marker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Dashboard!$D$122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Dashboard!$E$122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Dashboard!$F$122</c:f>
              <c:numCache>
                <c:formatCode>General</c:formatCode>
                <c:ptCount val="0"/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cat>
            <c:multiLvlStrRef>
              <c:f>Dashboard!$D$56:$G$56</c:f>
              <c:multiLvlStrCache>
                <c:ptCount val="1"/>
                <c:lvl>
                  <c:pt idx="0">
                    <c:v>2028F</c:v>
                  </c:pt>
                </c:lvl>
                <c:lvl>
                  <c:pt idx="0">
                    <c:v>2027F</c:v>
                  </c:pt>
                </c:lvl>
                <c:lvl>
                  <c:pt idx="0">
                    <c:v>2026F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Dashboard!$G$122</c:f>
              <c:numCache>
                <c:formatCode>General</c:formatCode>
                <c:ptCount val="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57372"/>
        <c:axId val="12623201"/>
      </c:lineChart>
      <c:catAx>
        <c:axId val="411573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623201"/>
        <c:crosses val="autoZero"/>
        <c:auto val="1"/>
        <c:lblAlgn val="ctr"/>
        <c:lblOffset val="100"/>
        <c:noMultiLvlLbl val="0"/>
      </c:catAx>
      <c:valAx>
        <c:axId val="12623201"/>
        <c:scaling>
          <c:orientation val="minMax"/>
          <c:max val="0.18"/>
          <c:min val="0.1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CET1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573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NII Scenario Impact — 2026F (€bn)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006b42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00915a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f5a623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cc3333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Dashboard!$C$68:$F$68</c:f>
              <c:strCache>
                <c:ptCount val="4"/>
                <c:pt idx="0">
                  <c:v>Base</c:v>
                </c:pt>
                <c:pt idx="1">
                  <c:v>Rate Hike</c:v>
                </c:pt>
                <c:pt idx="2">
                  <c:v>Rate Cut</c:v>
                </c:pt>
                <c:pt idx="3">
                  <c:v>Stress</c:v>
                </c:pt>
              </c:strCache>
            </c:strRef>
          </c:cat>
          <c:val>
            <c:numRef>
              <c:f>Dashboard!$C$69:$F$69</c:f>
              <c:numCache>
                <c:formatCode>#,##0.0</c:formatCode>
                <c:ptCount val="4"/>
                <c:pt idx="0">
                  <c:v>22.685668548311</c:v>
                </c:pt>
                <c:pt idx="1">
                  <c:v>20.216592343311</c:v>
                </c:pt>
                <c:pt idx="2">
                  <c:v>18.815639428311</c:v>
                </c:pt>
                <c:pt idx="3">
                  <c:v>15.812501578311</c:v>
                </c:pt>
              </c:numCache>
            </c:numRef>
          </c:val>
        </c:ser>
        <c:gapWidth val="150"/>
        <c:overlap val="0"/>
        <c:axId val="83963558"/>
        <c:axId val="72930865"/>
      </c:barChart>
      <c:catAx>
        <c:axId val="8396355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€ billion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930865"/>
        <c:crosses val="autoZero"/>
        <c:auto val="1"/>
        <c:lblAlgn val="ctr"/>
        <c:lblOffset val="100"/>
        <c:noMultiLvlLbl val="0"/>
      </c:catAx>
      <c:valAx>
        <c:axId val="729308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9635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76</xdr:row>
      <xdr:rowOff>0</xdr:rowOff>
    </xdr:from>
    <xdr:to>
      <xdr:col>5</xdr:col>
      <xdr:colOff>324720</xdr:colOff>
      <xdr:row>94</xdr:row>
      <xdr:rowOff>170640</xdr:rowOff>
    </xdr:to>
    <xdr:graphicFrame>
      <xdr:nvGraphicFramePr>
        <xdr:cNvPr id="0" name="Chart 1"/>
        <xdr:cNvGraphicFramePr/>
      </xdr:nvGraphicFramePr>
      <xdr:xfrm>
        <a:off x="141120" y="15401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91</xdr:row>
      <xdr:rowOff>0</xdr:rowOff>
    </xdr:from>
    <xdr:to>
      <xdr:col>5</xdr:col>
      <xdr:colOff>324720</xdr:colOff>
      <xdr:row>109</xdr:row>
      <xdr:rowOff>170640</xdr:rowOff>
    </xdr:to>
    <xdr:graphicFrame>
      <xdr:nvGraphicFramePr>
        <xdr:cNvPr id="1" name="Chart 2"/>
        <xdr:cNvGraphicFramePr/>
      </xdr:nvGraphicFramePr>
      <xdr:xfrm>
        <a:off x="141120" y="182595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106</xdr:row>
      <xdr:rowOff>0</xdr:rowOff>
    </xdr:from>
    <xdr:to>
      <xdr:col>5</xdr:col>
      <xdr:colOff>324720</xdr:colOff>
      <xdr:row>125</xdr:row>
      <xdr:rowOff>170640</xdr:rowOff>
    </xdr:to>
    <xdr:graphicFrame>
      <xdr:nvGraphicFramePr>
        <xdr:cNvPr id="2" name="Chart 3"/>
        <xdr:cNvGraphicFramePr/>
      </xdr:nvGraphicFramePr>
      <xdr:xfrm>
        <a:off x="141120" y="21116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NP_ALM_work.xlsx" TargetMode="External"/><Relationship Id="rId2" Type="http://schemas.openxmlformats.org/officeDocument/2006/relationships/hyperlink" Target="BNP_ALM_work.xlsx" TargetMode="External"/><Relationship Id="rId3" Type="http://schemas.openxmlformats.org/officeDocument/2006/relationships/hyperlink" Target="BNP_ALM_work.xlsx" TargetMode="External"/><Relationship Id="rId4" Type="http://schemas.openxmlformats.org/officeDocument/2006/relationships/hyperlink" Target="BNP_ALM_work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7" min="4" style="1" width="13"/>
  </cols>
  <sheetData>
    <row r="1" customFormat="false" ht="6" hidden="false" customHeight="true" outlineLevel="0" collapsed="false"/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39.75" hidden="false" customHeight="true" outlineLevel="0" collapsed="false">
      <c r="A3" s="2"/>
      <c r="B3" s="3" t="s">
        <v>0</v>
      </c>
      <c r="C3" s="3"/>
      <c r="D3" s="3"/>
      <c r="E3" s="3"/>
      <c r="F3" s="3"/>
      <c r="G3" s="3"/>
    </row>
    <row r="4" customFormat="false" ht="21.75" hidden="false" customHeight="true" outlineLevel="0" collapsed="false">
      <c r="A4" s="2"/>
      <c r="B4" s="4" t="s">
        <v>1</v>
      </c>
      <c r="C4" s="4"/>
      <c r="D4" s="4"/>
      <c r="E4" s="4"/>
      <c r="F4" s="4"/>
      <c r="G4" s="4"/>
    </row>
    <row r="5" customFormat="false" ht="18" hidden="false" customHeight="true" outlineLevel="0" collapsed="false">
      <c r="A5" s="2"/>
      <c r="B5" s="5" t="s">
        <v>2</v>
      </c>
      <c r="C5" s="5"/>
      <c r="D5" s="5"/>
      <c r="E5" s="5"/>
      <c r="F5" s="5"/>
      <c r="G5" s="5"/>
    </row>
    <row r="6" customFormat="false" ht="18" hidden="false" customHeight="true" outlineLevel="0" collapsed="false"/>
    <row r="7" customFormat="false" ht="21" hidden="false" customHeight="true" outlineLevel="0" collapsed="false">
      <c r="A7" s="2"/>
      <c r="B7" s="6" t="s">
        <v>3</v>
      </c>
      <c r="C7" s="6"/>
      <c r="D7" s="6"/>
      <c r="E7" s="6"/>
      <c r="F7" s="6"/>
      <c r="G7" s="6"/>
    </row>
    <row r="8" customFormat="false" ht="19.5" hidden="false" customHeight="true" outlineLevel="0" collapsed="false">
      <c r="B8" s="7" t="s">
        <v>4</v>
      </c>
      <c r="C8" s="8" t="str">
        <f aca="false">Engine!C108</f>
        <v>BNP Paribas SA</v>
      </c>
      <c r="D8" s="8"/>
      <c r="E8" s="8"/>
      <c r="F8" s="8"/>
      <c r="G8" s="8"/>
    </row>
    <row r="9" customFormat="false" ht="19.5" hidden="false" customHeight="true" outlineLevel="0" collapsed="false">
      <c r="B9" s="9" t="s">
        <v>5</v>
      </c>
      <c r="C9" s="10" t="str">
        <f aca="false">Engine!C106&amp;" — "&amp;Engine!C107</f>
        <v>EUR — EUR millions</v>
      </c>
      <c r="D9" s="10"/>
      <c r="E9" s="10"/>
      <c r="F9" s="10"/>
      <c r="G9" s="10"/>
    </row>
    <row r="10" customFormat="false" ht="19.5" hidden="false" customHeight="true" outlineLevel="0" collapsed="false">
      <c r="B10" s="7" t="s">
        <v>6</v>
      </c>
      <c r="C10" s="8" t="str">
        <f aca="false">Engine!C105</f>
        <v>2025A</v>
      </c>
      <c r="D10" s="8"/>
      <c r="E10" s="8"/>
      <c r="F10" s="8"/>
      <c r="G10" s="8"/>
    </row>
    <row r="11" customFormat="false" ht="19.5" hidden="false" customHeight="true" outlineLevel="0" collapsed="false">
      <c r="B11" s="9" t="s">
        <v>7</v>
      </c>
      <c r="C11" s="10" t="str">
        <f aca="false">Engine!C110</f>
        <v>3 Years (2026F–2028F)</v>
      </c>
      <c r="D11" s="10"/>
      <c r="E11" s="10"/>
      <c r="F11" s="10"/>
      <c r="G11" s="10"/>
    </row>
    <row r="12" customFormat="false" ht="19.5" hidden="false" customHeight="true" outlineLevel="0" collapsed="false">
      <c r="B12" s="7" t="s">
        <v>8</v>
      </c>
      <c r="C12" s="8" t="str">
        <f aca="false">Engine!C109</f>
        <v>EU — Basel III / CRR2 / Del. Reg. (EU) 2022/786</v>
      </c>
      <c r="D12" s="8"/>
      <c r="E12" s="8"/>
      <c r="F12" s="8"/>
      <c r="G12" s="8"/>
    </row>
    <row r="13" customFormat="false" ht="19.5" hidden="false" customHeight="true" outlineLevel="0" collapsed="false">
      <c r="B13" s="9" t="s">
        <v>9</v>
      </c>
      <c r="C13" s="10" t="s">
        <v>10</v>
      </c>
      <c r="D13" s="10"/>
      <c r="E13" s="10"/>
      <c r="F13" s="10"/>
      <c r="G13" s="10"/>
    </row>
    <row r="14" customFormat="false" ht="19.5" hidden="false" customHeight="true" outlineLevel="0" collapsed="false">
      <c r="B14" s="7" t="s">
        <v>11</v>
      </c>
      <c r="C14" s="8" t="str">
        <f aca="false">Engine!C103</f>
        <v>v1.0</v>
      </c>
      <c r="D14" s="8"/>
      <c r="E14" s="8"/>
      <c r="F14" s="8"/>
      <c r="G14" s="8"/>
    </row>
    <row r="15" customFormat="false" ht="13.5" hidden="false" customHeight="true" outlineLevel="0" collapsed="false"/>
    <row r="16" customFormat="false" ht="21" hidden="false" customHeight="true" outlineLevel="0" collapsed="false">
      <c r="A16" s="2"/>
      <c r="B16" s="6" t="s">
        <v>12</v>
      </c>
      <c r="C16" s="6"/>
      <c r="D16" s="6"/>
      <c r="E16" s="6"/>
      <c r="F16" s="6"/>
      <c r="G16" s="6"/>
    </row>
    <row r="17" customFormat="false" ht="18" hidden="false" customHeight="true" outlineLevel="0" collapsed="false">
      <c r="B17" s="11" t="s">
        <v>13</v>
      </c>
      <c r="C17" s="12" t="s">
        <v>14</v>
      </c>
      <c r="D17" s="12"/>
      <c r="E17" s="12"/>
      <c r="F17" s="12"/>
      <c r="G17" s="12"/>
    </row>
    <row r="18" customFormat="false" ht="19.5" hidden="false" customHeight="true" outlineLevel="0" collapsed="false">
      <c r="B18" s="13" t="s">
        <v>15</v>
      </c>
      <c r="C18" s="14" t="s">
        <v>16</v>
      </c>
      <c r="D18" s="14"/>
      <c r="E18" s="14"/>
      <c r="F18" s="14"/>
      <c r="G18" s="14"/>
    </row>
    <row r="19" customFormat="false" ht="19.5" hidden="false" customHeight="true" outlineLevel="0" collapsed="false">
      <c r="B19" s="15" t="s">
        <v>17</v>
      </c>
      <c r="C19" s="16" t="s">
        <v>18</v>
      </c>
      <c r="D19" s="16"/>
      <c r="E19" s="16"/>
      <c r="F19" s="16"/>
      <c r="G19" s="16"/>
    </row>
    <row r="20" customFormat="false" ht="19.5" hidden="false" customHeight="true" outlineLevel="0" collapsed="false">
      <c r="B20" s="13" t="s">
        <v>19</v>
      </c>
      <c r="C20" s="14" t="s">
        <v>20</v>
      </c>
      <c r="D20" s="14"/>
      <c r="E20" s="14"/>
      <c r="F20" s="14"/>
      <c r="G20" s="14"/>
    </row>
    <row r="21" customFormat="false" ht="19.5" hidden="false" customHeight="true" outlineLevel="0" collapsed="false">
      <c r="B21" s="15" t="s">
        <v>21</v>
      </c>
      <c r="C21" s="16" t="s">
        <v>22</v>
      </c>
      <c r="D21" s="16"/>
      <c r="E21" s="16"/>
      <c r="F21" s="16"/>
      <c r="G21" s="16"/>
    </row>
    <row r="22" customFormat="false" ht="13.5" hidden="false" customHeight="true" outlineLevel="0" collapsed="false"/>
    <row r="23" customFormat="false" ht="21" hidden="false" customHeight="true" outlineLevel="0" collapsed="false">
      <c r="A23" s="2"/>
      <c r="B23" s="6" t="s">
        <v>23</v>
      </c>
      <c r="C23" s="6"/>
      <c r="D23" s="6"/>
      <c r="E23" s="6"/>
      <c r="F23" s="6"/>
      <c r="G23" s="6"/>
    </row>
    <row r="24" customFormat="false" ht="15.75" hidden="false" customHeight="true" outlineLevel="0" collapsed="false">
      <c r="B24" s="17" t="s">
        <v>24</v>
      </c>
      <c r="C24" s="17" t="s">
        <v>25</v>
      </c>
      <c r="D24" s="17" t="s">
        <v>26</v>
      </c>
      <c r="E24" s="17" t="s">
        <v>27</v>
      </c>
      <c r="F24" s="17" t="s">
        <v>28</v>
      </c>
      <c r="G24" s="17" t="s">
        <v>29</v>
      </c>
    </row>
    <row r="25" customFormat="false" ht="27.75" hidden="false" customHeight="true" outlineLevel="0" collapsed="false">
      <c r="B25" s="18" t="n">
        <f aca="false">Dashboard!B8</f>
        <v>22.685668548311</v>
      </c>
      <c r="C25" s="19" t="n">
        <f aca="false">Dashboard!C8</f>
        <v>0.017379543720732</v>
      </c>
      <c r="D25" s="20" t="n">
        <f aca="false">Dashboard!D8</f>
        <v>0.158796558254004</v>
      </c>
      <c r="E25" s="20" t="n">
        <f aca="false">Dashboard!E8</f>
        <v>1.53548281027127</v>
      </c>
      <c r="F25" s="21" t="n">
        <f aca="false">Dashboard!F8</f>
        <v>1.02841988102678</v>
      </c>
      <c r="G25" s="20" t="n">
        <f aca="false">Dashboard!G8</f>
        <v>0.132468370482625</v>
      </c>
    </row>
    <row r="26" customFormat="false" ht="13.5" hidden="false" customHeight="true" outlineLevel="0" collapsed="false"/>
    <row r="27" customFormat="false" ht="21" hidden="false" customHeight="true" outlineLevel="0" collapsed="false">
      <c r="A27" s="2"/>
      <c r="B27" s="6" t="s">
        <v>30</v>
      </c>
      <c r="C27" s="6"/>
      <c r="D27" s="6"/>
      <c r="E27" s="6"/>
      <c r="F27" s="6"/>
      <c r="G27" s="6"/>
    </row>
    <row r="28" customFormat="false" ht="19.5" hidden="false" customHeight="true" outlineLevel="0" collapsed="false">
      <c r="B28" s="7" t="s">
        <v>31</v>
      </c>
      <c r="C28" s="8" t="str">
        <f aca="false">Engine!F111</f>
        <v>Hossam Eltarrass</v>
      </c>
      <c r="D28" s="8"/>
      <c r="E28" s="8"/>
      <c r="F28" s="8"/>
      <c r="G28" s="8"/>
    </row>
    <row r="29" customFormat="false" ht="19.5" hidden="false" customHeight="true" outlineLevel="0" collapsed="false">
      <c r="B29" s="9" t="s">
        <v>14</v>
      </c>
      <c r="C29" s="10" t="s">
        <v>32</v>
      </c>
      <c r="D29" s="10"/>
      <c r="E29" s="10"/>
      <c r="F29" s="10"/>
      <c r="G29" s="10"/>
    </row>
    <row r="30" customFormat="false" ht="19.5" hidden="false" customHeight="true" outlineLevel="0" collapsed="false">
      <c r="B30" s="7" t="s">
        <v>33</v>
      </c>
      <c r="C30" s="22" t="s">
        <v>34</v>
      </c>
      <c r="D30" s="22"/>
      <c r="E30" s="22"/>
      <c r="F30" s="22"/>
      <c r="G30" s="22"/>
    </row>
    <row r="31" customFormat="false" ht="19.5" hidden="false" customHeight="true" outlineLevel="0" collapsed="false">
      <c r="B31" s="9" t="s">
        <v>35</v>
      </c>
      <c r="C31" s="23" t="s">
        <v>36</v>
      </c>
      <c r="D31" s="23"/>
      <c r="E31" s="23"/>
      <c r="F31" s="23"/>
      <c r="G31" s="23"/>
    </row>
    <row r="32" customFormat="false" ht="19.5" hidden="false" customHeight="true" outlineLevel="0" collapsed="false">
      <c r="B32" s="7" t="s">
        <v>37</v>
      </c>
      <c r="C32" s="8" t="str">
        <f aca="false">TEXT(Engine!C111,"DD MMMM YYYY")</f>
        <v>24 March 2026</v>
      </c>
      <c r="D32" s="8"/>
      <c r="E32" s="8"/>
      <c r="F32" s="8"/>
      <c r="G32" s="8"/>
    </row>
    <row r="33" customFormat="false" ht="13.5" hidden="false" customHeight="true" outlineLevel="0" collapsed="false"/>
    <row r="34" customFormat="false" ht="21" hidden="false" customHeight="true" outlineLevel="0" collapsed="false">
      <c r="A34" s="2"/>
      <c r="B34" s="6" t="s">
        <v>38</v>
      </c>
      <c r="C34" s="6"/>
      <c r="D34" s="6"/>
      <c r="E34" s="6"/>
      <c r="F34" s="6"/>
      <c r="G34" s="6"/>
    </row>
    <row r="35" customFormat="false" ht="31.5" hidden="false" customHeight="true" outlineLevel="0" collapsed="false">
      <c r="B35" s="24" t="s">
        <v>39</v>
      </c>
      <c r="C35" s="24"/>
      <c r="D35" s="24"/>
      <c r="E35" s="24"/>
      <c r="F35" s="24"/>
      <c r="G35" s="24"/>
    </row>
    <row r="36" customFormat="false" ht="25.5" hidden="false" customHeight="true" outlineLevel="0" collapsed="false">
      <c r="B36" s="24" t="s">
        <v>40</v>
      </c>
      <c r="C36" s="24"/>
      <c r="D36" s="24"/>
      <c r="E36" s="24"/>
      <c r="F36" s="24"/>
      <c r="G36" s="24"/>
    </row>
    <row r="38" customFormat="false" ht="13.5" hidden="false" customHeight="true" outlineLevel="0" collapsed="false">
      <c r="B38" s="25" t="str">
        <f aca="false">"Model "&amp;Engine!C103&amp;"  |  Last updated: "&amp;TEXT(Engine!C111,"DD-MMM-YYYY")&amp;"  |  Prepared by: "&amp;Engine!F111</f>
        <v>Model v1.0  |  Last updated: 24-Mar-2026  |  Prepared by: Hossam Eltarrass</v>
      </c>
      <c r="C38" s="25"/>
      <c r="D38" s="25"/>
      <c r="E38" s="25"/>
      <c r="F38" s="25"/>
      <c r="G38" s="25"/>
    </row>
  </sheetData>
  <mergeCells count="28">
    <mergeCell ref="B3:G3"/>
    <mergeCell ref="B4:G4"/>
    <mergeCell ref="B5:G5"/>
    <mergeCell ref="B7:G7"/>
    <mergeCell ref="C8:G8"/>
    <mergeCell ref="C9:G9"/>
    <mergeCell ref="C10:G10"/>
    <mergeCell ref="C11:G11"/>
    <mergeCell ref="C12:G12"/>
    <mergeCell ref="C13:G13"/>
    <mergeCell ref="C14:G14"/>
    <mergeCell ref="B16:G16"/>
    <mergeCell ref="C17:G17"/>
    <mergeCell ref="C18:G18"/>
    <mergeCell ref="C19:G19"/>
    <mergeCell ref="C20:G20"/>
    <mergeCell ref="C21:G21"/>
    <mergeCell ref="B23:G23"/>
    <mergeCell ref="B27:G27"/>
    <mergeCell ref="C28:G28"/>
    <mergeCell ref="C29:G29"/>
    <mergeCell ref="C30:G30"/>
    <mergeCell ref="C31:G31"/>
    <mergeCell ref="C32:G32"/>
    <mergeCell ref="B34:G34"/>
    <mergeCell ref="B35:G35"/>
    <mergeCell ref="B36:G36"/>
    <mergeCell ref="B38:G38"/>
  </mergeCells>
  <hyperlinks>
    <hyperlink ref="B18" r:id="rId1" location="Dashboard!A1" display="Dashboard"/>
    <hyperlink ref="B19" r:id="rId2" location="Engine!A1" display="Engine"/>
    <hyperlink ref="B20" r:id="rId3" location="Model!A1" display="Model"/>
    <hyperlink ref="B21" r:id="rId4" location="Master%20Balance%20Sheet!A1" display="Master Balance Sheet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42"/>
    <pageSetUpPr fitToPage="true"/>
  </sheetPr>
  <dimension ref="B2:G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I10" activeCellId="0" sqref="I1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6" t="s">
        <v>0</v>
      </c>
      <c r="C2" s="26"/>
      <c r="D2" s="26"/>
      <c r="E2" s="26"/>
      <c r="F2" s="26"/>
      <c r="G2" s="27" t="s">
        <v>41</v>
      </c>
    </row>
    <row r="3" customFormat="false" ht="15" hidden="false" customHeight="true" outlineLevel="0" collapsed="false">
      <c r="B3" s="28" t="str">
        <f aca="false">Engine!C108&amp;"  |  "&amp;Engine!C106&amp;"  |  Scenario: "&amp;CHOOSE(Engine!C4,"Base","Rate Hike","Rate Cut","Stress")&amp;"  |  Base year: "&amp;Engine!C105</f>
        <v>BNP Paribas SA  |  EUR  |  Scenario: Base  |  Base year: 2025A</v>
      </c>
      <c r="C3" s="28"/>
      <c r="D3" s="28"/>
      <c r="E3" s="28"/>
      <c r="F3" s="28"/>
      <c r="G3" s="29" t="s">
        <v>42</v>
      </c>
    </row>
    <row r="4" customFormat="false" ht="15" hidden="false" customHeight="true" outlineLevel="0" collapsed="false">
      <c r="B4" s="28" t="s">
        <v>43</v>
      </c>
      <c r="C4" s="28"/>
      <c r="D4" s="28"/>
      <c r="E4" s="28"/>
      <c r="F4" s="28"/>
      <c r="G4" s="30" t="n">
        <f aca="false">MATCH(G3,{"Base","Rate Hike","Rate Cut","Stress"},0)</f>
        <v>1</v>
      </c>
    </row>
    <row r="6" customFormat="false" ht="21" hidden="false" customHeight="true" outlineLevel="0" collapsed="false">
      <c r="B6" s="6" t="str">
        <f aca="false">"KEY METRICS — 2026F vs 2025A | "&amp;CHOOSE(Dashboard!G4,"Base","Rate Hike","Rate Cut","Stress")</f>
        <v>KEY METRICS — 2026F vs 2025A | Base</v>
      </c>
      <c r="C6" s="6"/>
      <c r="D6" s="6"/>
      <c r="E6" s="6"/>
      <c r="F6" s="6"/>
      <c r="G6" s="31"/>
    </row>
    <row r="7" customFormat="false" ht="15" hidden="false" customHeight="true" outlineLevel="0" collapsed="false">
      <c r="B7" s="32" t="s">
        <v>24</v>
      </c>
      <c r="C7" s="32" t="s">
        <v>25</v>
      </c>
      <c r="D7" s="32" t="s">
        <v>44</v>
      </c>
      <c r="E7" s="32" t="s">
        <v>27</v>
      </c>
      <c r="F7" s="32" t="s">
        <v>28</v>
      </c>
      <c r="G7" s="32" t="s">
        <v>45</v>
      </c>
    </row>
    <row r="8" customFormat="false" ht="27.75" hidden="false" customHeight="true" outlineLevel="0" collapsed="false">
      <c r="B8" s="33" t="n">
        <f aca="false">Model!D23/1000</f>
        <v>22.685668548311</v>
      </c>
      <c r="C8" s="34" t="n">
        <f aca="false">Model!E132</f>
        <v>0.017379543720732</v>
      </c>
      <c r="D8" s="35" t="n">
        <f aca="false">Model!E138</f>
        <v>0.158796558254004</v>
      </c>
      <c r="E8" s="35" t="n">
        <f aca="false">Model!E140</f>
        <v>1.53548281027127</v>
      </c>
      <c r="F8" s="36" t="n">
        <f aca="false">Model!E141</f>
        <v>1.02841988102678</v>
      </c>
      <c r="G8" s="35" t="n">
        <f aca="false">Model!E229</f>
        <v>0.132468370482625</v>
      </c>
    </row>
    <row r="9" customFormat="false" ht="15" hidden="false" customHeight="true" outlineLevel="0" collapsed="false">
      <c r="B9" s="37" t="n">
        <f aca="false">(Model!D23-Model!C23)/1000</f>
        <v>0.600416098310969</v>
      </c>
      <c r="C9" s="38" t="n">
        <f aca="false">Model!E132-Model!D132</f>
        <v>6.06499921230359E-005</v>
      </c>
      <c r="D9" s="39" t="n">
        <f aca="false">Model!E138-Model!D138</f>
        <v>0.00134061308083283</v>
      </c>
      <c r="E9" s="40" t="n">
        <f aca="false">Model!E140-Model!D140</f>
        <v>-0.0189240850362113</v>
      </c>
      <c r="F9" s="41" t="n">
        <f aca="false">Model!E141-Model!D141</f>
        <v>-0.0704932248734234</v>
      </c>
      <c r="G9" s="42" t="str">
        <f aca="false">IF(Model!E229&gt;0.15,"BREACH","OK")</f>
        <v>OK</v>
      </c>
    </row>
    <row r="10" customFormat="false" ht="15" hidden="false" customHeight="true" outlineLevel="0" collapsed="false">
      <c r="B10" s="43"/>
      <c r="C10" s="43"/>
      <c r="D10" s="43" t="s">
        <v>46</v>
      </c>
      <c r="E10" s="43" t="s">
        <v>47</v>
      </c>
      <c r="F10" s="43" t="s">
        <v>48</v>
      </c>
      <c r="G10" s="43" t="s">
        <v>49</v>
      </c>
    </row>
    <row r="12" customFormat="false" ht="21" hidden="false" customHeight="true" outlineLevel="0" collapsed="false">
      <c r="B12" s="6" t="s">
        <v>50</v>
      </c>
      <c r="C12" s="6"/>
      <c r="D12" s="6"/>
      <c r="E12" s="6"/>
      <c r="F12" s="6"/>
      <c r="G12" s="31"/>
    </row>
    <row r="13" customFormat="false" ht="18" hidden="false" customHeight="true" outlineLevel="0" collapsed="false">
      <c r="B13" s="44"/>
      <c r="C13" s="45" t="s">
        <v>51</v>
      </c>
      <c r="D13" s="45" t="s">
        <v>52</v>
      </c>
      <c r="E13" s="45" t="s">
        <v>53</v>
      </c>
      <c r="F13" s="45" t="s">
        <v>54</v>
      </c>
      <c r="G13" s="45"/>
    </row>
    <row r="14" customFormat="false" ht="15" hidden="false" customHeight="true" outlineLevel="0" collapsed="false">
      <c r="B14" s="46" t="s">
        <v>55</v>
      </c>
    </row>
    <row r="15" customFormat="false" ht="15" hidden="false" customHeight="true" outlineLevel="0" collapsed="false">
      <c r="B15" s="47" t="s">
        <v>56</v>
      </c>
      <c r="C15" s="48" t="n">
        <f aca="false">Engine!D126</f>
        <v>211330</v>
      </c>
      <c r="D15" s="48" t="n">
        <f aca="false">Engine!E126</f>
        <v>214325.326591599</v>
      </c>
      <c r="E15" s="48" t="n">
        <f aca="false">Engine!F126</f>
        <v>217157.600723092</v>
      </c>
      <c r="F15" s="48" t="n">
        <f aca="false">Engine!G126</f>
        <v>219876.4204556</v>
      </c>
    </row>
    <row r="16" customFormat="false" ht="15" hidden="false" customHeight="true" outlineLevel="0" collapsed="false">
      <c r="B16" s="47" t="s">
        <v>57</v>
      </c>
      <c r="C16" s="48" t="n">
        <f aca="false">Engine!D127</f>
        <v>870245</v>
      </c>
      <c r="D16" s="48" t="n">
        <f aca="false">Engine!E127</f>
        <v>870245</v>
      </c>
      <c r="E16" s="48" t="n">
        <f aca="false">Engine!F127</f>
        <v>870245</v>
      </c>
      <c r="F16" s="48" t="n">
        <f aca="false">Engine!G127</f>
        <v>870245</v>
      </c>
    </row>
    <row r="17" customFormat="false" ht="15" hidden="false" customHeight="true" outlineLevel="0" collapsed="false">
      <c r="B17" s="47" t="s">
        <v>58</v>
      </c>
      <c r="C17" s="48" t="n">
        <f aca="false">Engine!D128</f>
        <v>897358</v>
      </c>
      <c r="D17" s="48" t="n">
        <f aca="false">Engine!E128</f>
        <v>924278.74</v>
      </c>
      <c r="E17" s="48" t="n">
        <f aca="false">Engine!F128</f>
        <v>952007.1022</v>
      </c>
      <c r="F17" s="48" t="n">
        <f aca="false">Engine!G128</f>
        <v>980567.315266</v>
      </c>
    </row>
    <row r="18" customFormat="false" ht="15" hidden="false" customHeight="true" outlineLevel="0" collapsed="false">
      <c r="B18" s="47" t="s">
        <v>59</v>
      </c>
      <c r="C18" s="48" t="n">
        <f aca="false">Engine!D129</f>
        <v>26259</v>
      </c>
      <c r="D18" s="48" t="n">
        <f aca="false">Engine!E129</f>
        <v>26259</v>
      </c>
      <c r="E18" s="48" t="n">
        <f aca="false">Engine!F129</f>
        <v>26259</v>
      </c>
      <c r="F18" s="48" t="n">
        <f aca="false">Engine!G129</f>
        <v>26259</v>
      </c>
    </row>
    <row r="19" customFormat="false" ht="15" hidden="false" customHeight="true" outlineLevel="0" collapsed="false">
      <c r="B19" s="47" t="s">
        <v>60</v>
      </c>
      <c r="C19" s="48" t="n">
        <f aca="false">Engine!D130</f>
        <v>153107</v>
      </c>
      <c r="D19" s="48" t="n">
        <f aca="false">Engine!E130</f>
        <v>157700.21</v>
      </c>
      <c r="E19" s="48" t="n">
        <f aca="false">Engine!F130</f>
        <v>162431.2163</v>
      </c>
      <c r="F19" s="48" t="n">
        <f aca="false">Engine!G130</f>
        <v>167304.152789</v>
      </c>
    </row>
    <row r="20" customFormat="false" ht="15" hidden="false" customHeight="true" outlineLevel="0" collapsed="false">
      <c r="B20" s="47" t="s">
        <v>61</v>
      </c>
      <c r="C20" s="48" t="n">
        <f aca="false">Engine!D131</f>
        <v>634682</v>
      </c>
      <c r="D20" s="48" t="n">
        <f aca="false">Engine!E131</f>
        <v>641028.82</v>
      </c>
      <c r="E20" s="48" t="n">
        <f aca="false">Engine!F131</f>
        <v>647439.1082</v>
      </c>
      <c r="F20" s="48" t="n">
        <f aca="false">Engine!G131</f>
        <v>653913.499282</v>
      </c>
    </row>
    <row r="21" customFormat="false" ht="15" hidden="false" customHeight="true" outlineLevel="0" collapsed="false">
      <c r="B21" s="49" t="s">
        <v>62</v>
      </c>
      <c r="C21" s="50" t="n">
        <f aca="false">Engine!D132</f>
        <v>2792981</v>
      </c>
      <c r="D21" s="50" t="n">
        <f aca="false">Engine!E132</f>
        <v>2833837.09659159</v>
      </c>
      <c r="E21" s="50" t="n">
        <f aca="false">Engine!F132</f>
        <v>2875539.02742309</v>
      </c>
      <c r="F21" s="50" t="n">
        <f aca="false">Engine!G132</f>
        <v>2918165.3877926</v>
      </c>
      <c r="G21" s="51"/>
    </row>
    <row r="23" customFormat="false" ht="15" hidden="false" customHeight="true" outlineLevel="0" collapsed="false">
      <c r="B23" s="46" t="s">
        <v>63</v>
      </c>
    </row>
    <row r="24" customFormat="false" ht="15" hidden="false" customHeight="true" outlineLevel="0" collapsed="false">
      <c r="B24" s="47" t="s">
        <v>64</v>
      </c>
      <c r="C24" s="48" t="n">
        <f aca="false">Engine!D136</f>
        <v>1075564</v>
      </c>
      <c r="D24" s="48" t="n">
        <f aca="false">Engine!E136</f>
        <v>1102453.1</v>
      </c>
      <c r="E24" s="48" t="n">
        <f aca="false">Engine!F136</f>
        <v>1130014.4275</v>
      </c>
      <c r="F24" s="48" t="n">
        <f aca="false">Engine!G136</f>
        <v>1158264.7881875</v>
      </c>
    </row>
    <row r="25" customFormat="false" ht="15" hidden="false" customHeight="true" outlineLevel="0" collapsed="false">
      <c r="B25" s="47" t="s">
        <v>65</v>
      </c>
      <c r="C25" s="48" t="n">
        <f aca="false">Engine!D137</f>
        <v>69938</v>
      </c>
      <c r="D25" s="48" t="n">
        <f aca="false">Engine!E137</f>
        <v>69938</v>
      </c>
      <c r="E25" s="48" t="n">
        <f aca="false">Engine!F137</f>
        <v>69938</v>
      </c>
      <c r="F25" s="48" t="n">
        <f aca="false">Engine!G137</f>
        <v>69938</v>
      </c>
    </row>
    <row r="26" customFormat="false" ht="15" hidden="false" customHeight="true" outlineLevel="0" collapsed="false">
      <c r="B26" s="47" t="s">
        <v>66</v>
      </c>
      <c r="C26" s="48" t="n">
        <f aca="false">Engine!D138</f>
        <v>357947</v>
      </c>
      <c r="D26" s="48" t="n">
        <f aca="false">Engine!E138</f>
        <v>357947</v>
      </c>
      <c r="E26" s="48" t="n">
        <f aca="false">Engine!F138</f>
        <v>357947</v>
      </c>
      <c r="F26" s="48" t="n">
        <f aca="false">Engine!G138</f>
        <v>357947</v>
      </c>
    </row>
    <row r="27" customFormat="false" ht="15" hidden="false" customHeight="true" outlineLevel="0" collapsed="false">
      <c r="B27" s="47" t="s">
        <v>67</v>
      </c>
      <c r="C27" s="48" t="n">
        <f aca="false">Engine!D139</f>
        <v>173933</v>
      </c>
      <c r="D27" s="48" t="n">
        <f aca="false">Engine!E139</f>
        <v>173933</v>
      </c>
      <c r="E27" s="48" t="n">
        <f aca="false">Engine!F139</f>
        <v>173933</v>
      </c>
      <c r="F27" s="48" t="n">
        <f aca="false">Engine!G139</f>
        <v>173933</v>
      </c>
    </row>
    <row r="28" customFormat="false" ht="15" hidden="false" customHeight="true" outlineLevel="0" collapsed="false">
      <c r="B28" s="47" t="s">
        <v>68</v>
      </c>
      <c r="C28" s="48" t="n">
        <f aca="false">Engine!D140</f>
        <v>34468</v>
      </c>
      <c r="D28" s="48" t="n">
        <f aca="false">Engine!E140</f>
        <v>34468</v>
      </c>
      <c r="E28" s="48" t="n">
        <f aca="false">Engine!F140</f>
        <v>34468</v>
      </c>
      <c r="F28" s="48" t="n">
        <f aca="false">Engine!G140</f>
        <v>34468</v>
      </c>
    </row>
    <row r="29" customFormat="false" ht="15" hidden="false" customHeight="true" outlineLevel="0" collapsed="false">
      <c r="B29" s="47" t="s">
        <v>69</v>
      </c>
      <c r="C29" s="48" t="n">
        <f aca="false">Engine!D141</f>
        <v>948958</v>
      </c>
      <c r="D29" s="48" t="n">
        <f aca="false">Engine!E141</f>
        <v>958447.58</v>
      </c>
      <c r="E29" s="48" t="n">
        <f aca="false">Engine!F141</f>
        <v>968032.0558</v>
      </c>
      <c r="F29" s="48" t="n">
        <f aca="false">Engine!G141</f>
        <v>977712.376358</v>
      </c>
    </row>
    <row r="30" customFormat="false" ht="15" hidden="false" customHeight="true" outlineLevel="0" collapsed="false">
      <c r="B30" s="49" t="s">
        <v>70</v>
      </c>
      <c r="C30" s="50" t="n">
        <f aca="false">Engine!D142</f>
        <v>2660808</v>
      </c>
      <c r="D30" s="50" t="n">
        <f aca="false">Engine!E142</f>
        <v>2697186.68</v>
      </c>
      <c r="E30" s="50" t="n">
        <f aca="false">Engine!F142</f>
        <v>2734332.4833</v>
      </c>
      <c r="F30" s="50" t="n">
        <f aca="false">Engine!G142</f>
        <v>2772263.1645455</v>
      </c>
      <c r="G30" s="51"/>
    </row>
    <row r="31" customFormat="false" ht="15" hidden="false" customHeight="true" outlineLevel="0" collapsed="false">
      <c r="B31" s="47" t="s">
        <v>71</v>
      </c>
      <c r="C31" s="48" t="n">
        <f aca="false">Engine!D145</f>
        <v>132173</v>
      </c>
      <c r="D31" s="48" t="n">
        <f aca="false">Engine!E145</f>
        <v>136650.416591599</v>
      </c>
      <c r="E31" s="48" t="n">
        <f aca="false">Engine!F145</f>
        <v>141206.544123092</v>
      </c>
      <c r="F31" s="48" t="n">
        <f aca="false">Engine!G145</f>
        <v>145902.2232471</v>
      </c>
    </row>
    <row r="32" customFormat="false" ht="15" hidden="false" customHeight="true" outlineLevel="0" collapsed="false">
      <c r="B32" s="49" t="s">
        <v>72</v>
      </c>
      <c r="C32" s="50" t="n">
        <f aca="false">Engine!D146</f>
        <v>2792981</v>
      </c>
      <c r="D32" s="50" t="n">
        <f aca="false">Engine!E146</f>
        <v>2833837.0965916</v>
      </c>
      <c r="E32" s="50" t="n">
        <f aca="false">Engine!F146</f>
        <v>2875539.02742309</v>
      </c>
      <c r="F32" s="50" t="n">
        <f aca="false">Engine!G146</f>
        <v>2918165.3877926</v>
      </c>
      <c r="G32" s="51"/>
    </row>
    <row r="33" customFormat="false" ht="15" hidden="false" customHeight="true" outlineLevel="0" collapsed="false">
      <c r="B33" s="52" t="s">
        <v>73</v>
      </c>
      <c r="C33" s="53" t="n">
        <f aca="false">Engine!D147</f>
        <v>0</v>
      </c>
      <c r="D33" s="53" t="n">
        <f aca="false">Engine!E147</f>
        <v>0</v>
      </c>
      <c r="E33" s="53" t="n">
        <f aca="false">Engine!F147</f>
        <v>0</v>
      </c>
      <c r="F33" s="53" t="n">
        <f aca="false">Engine!G147</f>
        <v>0</v>
      </c>
    </row>
    <row r="35" customFormat="false" ht="21" hidden="false" customHeight="true" outlineLevel="0" collapsed="false">
      <c r="B35" s="6" t="s">
        <v>74</v>
      </c>
      <c r="C35" s="6"/>
      <c r="D35" s="6"/>
      <c r="E35" s="6"/>
      <c r="F35" s="6"/>
      <c r="G35" s="31"/>
    </row>
    <row r="36" customFormat="false" ht="18" hidden="false" customHeight="true" outlineLevel="0" collapsed="false">
      <c r="B36" s="44"/>
      <c r="C36" s="45" t="s">
        <v>51</v>
      </c>
      <c r="D36" s="45" t="s">
        <v>52</v>
      </c>
      <c r="E36" s="45" t="s">
        <v>53</v>
      </c>
      <c r="F36" s="45" t="s">
        <v>54</v>
      </c>
      <c r="G36" s="45"/>
    </row>
    <row r="37" customFormat="false" ht="15" hidden="false" customHeight="true" outlineLevel="0" collapsed="false">
      <c r="B37" s="47" t="s">
        <v>75</v>
      </c>
      <c r="C37" s="48" t="n">
        <f aca="false">Model!C23</f>
        <v>22085.25245</v>
      </c>
      <c r="D37" s="48" t="n">
        <f aca="false">Model!D23</f>
        <v>22685.668548311</v>
      </c>
      <c r="E37" s="48" t="n">
        <f aca="false">Model!E23</f>
        <v>23224.9233783616</v>
      </c>
      <c r="F37" s="48" t="n">
        <f aca="false">Model!F23</f>
        <v>24295.9454104467</v>
      </c>
    </row>
    <row r="38" customFormat="false" ht="15" hidden="false" customHeight="true" outlineLevel="0" collapsed="false">
      <c r="B38" s="47" t="s">
        <v>76</v>
      </c>
      <c r="C38" s="48" t="n">
        <f aca="false">Model!C24</f>
        <v>22343.848</v>
      </c>
      <c r="D38" s="48" t="n">
        <f aca="false">Model!D24</f>
        <v>22670.6967727328</v>
      </c>
      <c r="E38" s="48" t="n">
        <f aca="false">Model!E24</f>
        <v>23004.3122193847</v>
      </c>
      <c r="F38" s="48" t="n">
        <f aca="false">Model!F24</f>
        <v>23345.3231023408</v>
      </c>
    </row>
    <row r="39" customFormat="false" ht="15" hidden="false" customHeight="true" outlineLevel="0" collapsed="false">
      <c r="B39" s="47" t="s">
        <v>77</v>
      </c>
      <c r="C39" s="48" t="n">
        <f aca="false">Model!C25</f>
        <v>44429.10045</v>
      </c>
      <c r="D39" s="48" t="n">
        <f aca="false">Model!D25</f>
        <v>45356.3653210436</v>
      </c>
      <c r="E39" s="48" t="n">
        <f aca="false">Model!E25</f>
        <v>46229.2355977464</v>
      </c>
      <c r="F39" s="48" t="n">
        <f aca="false">Model!F25</f>
        <v>47641.2685127875</v>
      </c>
      <c r="G39" s="51"/>
    </row>
    <row r="40" customFormat="false" ht="15" hidden="false" customHeight="true" outlineLevel="0" collapsed="false">
      <c r="B40" s="47" t="s">
        <v>78</v>
      </c>
      <c r="C40" s="48" t="n">
        <f aca="false">Model!C26</f>
        <v>-27546.042279</v>
      </c>
      <c r="D40" s="48" t="n">
        <f aca="false">Model!D26</f>
        <v>-28120.946499047</v>
      </c>
      <c r="E40" s="48" t="n">
        <f aca="false">Model!E26</f>
        <v>-28662.1260706028</v>
      </c>
      <c r="F40" s="48" t="n">
        <f aca="false">Model!F26</f>
        <v>-29537.5864779283</v>
      </c>
    </row>
    <row r="41" customFormat="false" ht="15" hidden="false" customHeight="true" outlineLevel="0" collapsed="false">
      <c r="B41" s="47" t="s">
        <v>79</v>
      </c>
      <c r="C41" s="48" t="n">
        <f aca="false">Model!C28</f>
        <v>-2243.395</v>
      </c>
      <c r="D41" s="48" t="n">
        <f aca="false">Model!D28</f>
        <v>-2310.69685</v>
      </c>
      <c r="E41" s="48" t="n">
        <f aca="false">Model!E28</f>
        <v>-2380.0177555</v>
      </c>
      <c r="F41" s="48" t="n">
        <f aca="false">Model!F28</f>
        <v>-2451.418288165</v>
      </c>
    </row>
    <row r="42" customFormat="false" ht="15" hidden="false" customHeight="true" outlineLevel="0" collapsed="false">
      <c r="B42" s="49" t="s">
        <v>80</v>
      </c>
      <c r="C42" s="50" t="n">
        <f aca="false">Model!C31</f>
        <v>10979.74737825</v>
      </c>
      <c r="D42" s="50" t="n">
        <f aca="false">Model!D31</f>
        <v>11193.5414789974</v>
      </c>
      <c r="E42" s="50" t="n">
        <f aca="false">Model!E31</f>
        <v>11390.3188287327</v>
      </c>
      <c r="F42" s="50" t="n">
        <f aca="false">Model!F31</f>
        <v>11739.1978100207</v>
      </c>
      <c r="G42" s="51"/>
    </row>
    <row r="44" customFormat="false" ht="15" hidden="false" customHeight="true" outlineLevel="0" collapsed="false">
      <c r="B44" s="54" t="s">
        <v>25</v>
      </c>
      <c r="C44" s="55" t="n">
        <f aca="false">Model!D132</f>
        <v>0.0173188937286089</v>
      </c>
      <c r="D44" s="55" t="n">
        <f aca="false">Model!E132</f>
        <v>0.017379543720732</v>
      </c>
      <c r="E44" s="55" t="n">
        <f aca="false">Model!F132</f>
        <v>0.0173293282478278</v>
      </c>
      <c r="F44" s="55" t="n">
        <f aca="false">Model!G132</f>
        <v>0.0176578237629278</v>
      </c>
    </row>
    <row r="45" customFormat="false" ht="15" hidden="false" customHeight="true" outlineLevel="0" collapsed="false">
      <c r="B45" s="54" t="s">
        <v>81</v>
      </c>
      <c r="C45" s="56" t="n">
        <f aca="false">Model!C34</f>
        <v>0.0830710309840134</v>
      </c>
      <c r="D45" s="56" t="n">
        <f aca="false">Model!D34</f>
        <v>0.0819137018253744</v>
      </c>
      <c r="E45" s="56" t="n">
        <f aca="false">Model!E34</f>
        <v>0.0806642418697223</v>
      </c>
      <c r="F45" s="56" t="n">
        <f aca="false">Model!F34</f>
        <v>0.0804593483825066</v>
      </c>
    </row>
    <row r="46" customFormat="false" ht="15" hidden="false" customHeight="true" outlineLevel="0" collapsed="false">
      <c r="B46" s="54" t="s">
        <v>82</v>
      </c>
      <c r="C46" s="56" t="n">
        <f aca="false">Model!C36</f>
        <v>0.62</v>
      </c>
      <c r="D46" s="56" t="n">
        <f aca="false">Model!D36</f>
        <v>0.62</v>
      </c>
      <c r="E46" s="56" t="n">
        <f aca="false">Model!E36</f>
        <v>0.62</v>
      </c>
      <c r="F46" s="56" t="n">
        <f aca="false">Model!F36</f>
        <v>0.62</v>
      </c>
    </row>
    <row r="48" customFormat="false" ht="21" hidden="false" customHeight="true" outlineLevel="0" collapsed="false">
      <c r="B48" s="6" t="s">
        <v>83</v>
      </c>
      <c r="C48" s="6"/>
      <c r="D48" s="6"/>
      <c r="E48" s="6"/>
      <c r="F48" s="6"/>
      <c r="G48" s="31"/>
    </row>
    <row r="49" customFormat="false" ht="18" hidden="false" customHeight="true" outlineLevel="0" collapsed="false">
      <c r="B49" s="44"/>
      <c r="C49" s="45" t="s">
        <v>84</v>
      </c>
      <c r="D49" s="45" t="s">
        <v>51</v>
      </c>
      <c r="E49" s="45" t="s">
        <v>52</v>
      </c>
      <c r="F49" s="45" t="s">
        <v>53</v>
      </c>
      <c r="G49" s="45" t="s">
        <v>54</v>
      </c>
    </row>
    <row r="50" customFormat="false" ht="15" hidden="false" customHeight="true" outlineLevel="0" collapsed="false">
      <c r="B50" s="47" t="s">
        <v>85</v>
      </c>
      <c r="C50" s="57" t="s">
        <v>86</v>
      </c>
      <c r="D50" s="56" t="n">
        <f aca="false">Engine!D149</f>
        <v>0.834313904147034</v>
      </c>
      <c r="E50" s="56" t="n">
        <f aca="false">Engine!E149</f>
        <v>0.838383728069702</v>
      </c>
      <c r="F50" s="56" t="n">
        <f aca="false">Engine!F149</f>
        <v>0.842473404791993</v>
      </c>
      <c r="G50" s="56" t="n">
        <f aca="false">Engine!G149</f>
        <v>0.846583031156833</v>
      </c>
    </row>
    <row r="51" customFormat="false" ht="15" hidden="false" customHeight="true" outlineLevel="0" collapsed="false">
      <c r="B51" s="47" t="s">
        <v>87</v>
      </c>
      <c r="C51" s="57" t="s">
        <v>86</v>
      </c>
      <c r="D51" s="56" t="n">
        <f aca="false">Engine!D151</f>
        <v>0.432418623685589</v>
      </c>
      <c r="E51" s="56" t="n">
        <f aca="false">Engine!E151</f>
        <v>0.437252909873306</v>
      </c>
      <c r="F51" s="56" t="n">
        <f aca="false">Engine!F151</f>
        <v>0.442080931435764</v>
      </c>
      <c r="G51" s="56" t="n">
        <f aca="false">Engine!G151</f>
        <v>0.446913330166361</v>
      </c>
    </row>
    <row r="52" customFormat="false" ht="15" hidden="false" customHeight="true" outlineLevel="0" collapsed="false">
      <c r="B52" s="47" t="s">
        <v>27</v>
      </c>
      <c r="C52" s="57" t="s">
        <v>88</v>
      </c>
      <c r="D52" s="56" t="n">
        <f aca="false">Model!D140</f>
        <v>1.55440689530748</v>
      </c>
      <c r="E52" s="56" t="n">
        <f aca="false">Model!E140</f>
        <v>1.53548281027127</v>
      </c>
      <c r="F52" s="56" t="n">
        <f aca="false">Model!F140</f>
        <v>1.54710723680844</v>
      </c>
      <c r="G52" s="56" t="n">
        <f aca="false">Model!G140</f>
        <v>1.55801250449404</v>
      </c>
    </row>
    <row r="53" customFormat="false" ht="15" hidden="false" customHeight="true" outlineLevel="0" collapsed="false">
      <c r="B53" s="47" t="s">
        <v>28</v>
      </c>
      <c r="C53" s="57" t="s">
        <v>89</v>
      </c>
      <c r="D53" s="58" t="n">
        <f aca="false">Model!D141</f>
        <v>1.09891310590021</v>
      </c>
      <c r="E53" s="58" t="n">
        <f aca="false">Model!E141</f>
        <v>1.02841988102678</v>
      </c>
      <c r="F53" s="58" t="n">
        <f aca="false">Model!F141</f>
        <v>1.02652627467762</v>
      </c>
      <c r="G53" s="58" t="n">
        <f aca="false">Model!G141</f>
        <v>1.02462504898682</v>
      </c>
    </row>
    <row r="55" customFormat="false" ht="21" hidden="false" customHeight="true" outlineLevel="0" collapsed="false">
      <c r="B55" s="6" t="s">
        <v>90</v>
      </c>
      <c r="C55" s="6"/>
      <c r="D55" s="6"/>
      <c r="E55" s="6"/>
      <c r="F55" s="6"/>
      <c r="G55" s="31"/>
    </row>
    <row r="56" customFormat="false" ht="18" hidden="false" customHeight="true" outlineLevel="0" collapsed="false">
      <c r="B56" s="44"/>
      <c r="C56" s="45" t="s">
        <v>84</v>
      </c>
      <c r="D56" s="45" t="s">
        <v>51</v>
      </c>
      <c r="E56" s="45" t="s">
        <v>52</v>
      </c>
      <c r="F56" s="45" t="s">
        <v>53</v>
      </c>
      <c r="G56" s="45" t="s">
        <v>54</v>
      </c>
    </row>
    <row r="57" customFormat="false" ht="15" hidden="false" customHeight="true" outlineLevel="0" collapsed="false">
      <c r="B57" s="47" t="s">
        <v>91</v>
      </c>
      <c r="C57" s="57" t="s">
        <v>92</v>
      </c>
      <c r="D57" s="56" t="n">
        <f aca="false">Model!D138</f>
        <v>0.157455945173171</v>
      </c>
      <c r="E57" s="56" t="n">
        <f aca="false">Model!E138</f>
        <v>0.158796558254004</v>
      </c>
      <c r="F57" s="56" t="n">
        <f aca="false">Model!F138</f>
        <v>0.16004729216555</v>
      </c>
      <c r="G57" s="56" t="n">
        <f aca="false">Model!G138</f>
        <v>0.16127586668761</v>
      </c>
    </row>
    <row r="58" customFormat="false" ht="15" hidden="false" customHeight="true" outlineLevel="0" collapsed="false">
      <c r="B58" s="47" t="s">
        <v>93</v>
      </c>
      <c r="C58" s="57" t="s">
        <v>94</v>
      </c>
      <c r="D58" s="56" t="n">
        <f aca="false">Model!D139</f>
        <v>0.0473232721597462</v>
      </c>
      <c r="E58" s="56" t="n">
        <f aca="false">Model!E139</f>
        <v>0.048220985163881</v>
      </c>
      <c r="F58" s="56" t="n">
        <f aca="false">Model!F139</f>
        <v>0.0491061128979473</v>
      </c>
      <c r="G58" s="56" t="n">
        <f aca="false">Model!G139</f>
        <v>0.0499979281014863</v>
      </c>
    </row>
    <row r="59" customFormat="false" ht="15" hidden="false" customHeight="true" outlineLevel="0" collapsed="false">
      <c r="B59" s="47" t="s">
        <v>27</v>
      </c>
      <c r="C59" s="57" t="s">
        <v>88</v>
      </c>
      <c r="D59" s="56" t="n">
        <f aca="false">Model!D140</f>
        <v>1.55440689530748</v>
      </c>
      <c r="E59" s="56" t="n">
        <f aca="false">Model!E140</f>
        <v>1.53548281027127</v>
      </c>
      <c r="F59" s="56" t="n">
        <f aca="false">Model!F140</f>
        <v>1.54710723680844</v>
      </c>
      <c r="G59" s="56" t="n">
        <f aca="false">Model!G140</f>
        <v>1.55801250449404</v>
      </c>
    </row>
    <row r="60" customFormat="false" ht="15" hidden="false" customHeight="true" outlineLevel="0" collapsed="false">
      <c r="B60" s="47" t="s">
        <v>28</v>
      </c>
      <c r="C60" s="57" t="s">
        <v>89</v>
      </c>
      <c r="D60" s="58" t="n">
        <f aca="false">Model!D141</f>
        <v>1.09891310590021</v>
      </c>
      <c r="E60" s="58" t="n">
        <f aca="false">Model!E141</f>
        <v>1.02841988102678</v>
      </c>
      <c r="F60" s="58" t="n">
        <f aca="false">Model!F141</f>
        <v>1.02652627467762</v>
      </c>
      <c r="G60" s="58" t="n">
        <f aca="false">Model!G141</f>
        <v>1.02462504898682</v>
      </c>
    </row>
    <row r="62" customFormat="false" ht="15" hidden="false" customHeight="true" outlineLevel="0" collapsed="false">
      <c r="B62" s="46" t="s">
        <v>95</v>
      </c>
      <c r="C62" s="59"/>
      <c r="D62" s="59"/>
      <c r="E62" s="59"/>
      <c r="F62" s="59"/>
    </row>
    <row r="63" customFormat="false" ht="15" hidden="false" customHeight="true" outlineLevel="0" collapsed="false">
      <c r="B63" s="47" t="s">
        <v>96</v>
      </c>
      <c r="D63" s="60" t="n">
        <f aca="false">Model!E229</f>
        <v>0.132468370482625</v>
      </c>
      <c r="E63" s="60"/>
      <c r="F63" s="60"/>
    </row>
    <row r="64" customFormat="false" ht="15" hidden="false" customHeight="true" outlineLevel="0" collapsed="false">
      <c r="B64" s="47" t="s">
        <v>97</v>
      </c>
      <c r="D64" s="61" t="str">
        <f aca="false">IF(Model!E229&gt;0.15,"BREACH — "&amp;TEXT(Model!E229,"0.0%")&amp;" &gt; 15%","PASS")</f>
        <v>PASS</v>
      </c>
      <c r="E64" s="61"/>
      <c r="F64" s="61"/>
    </row>
    <row r="65" customFormat="false" ht="15" hidden="false" customHeight="true" outlineLevel="0" collapsed="false">
      <c r="B65" s="47" t="s">
        <v>98</v>
      </c>
      <c r="D65" s="60" t="n">
        <f aca="false">Model!C54</f>
        <v>0.347083739131087</v>
      </c>
      <c r="E65" s="60"/>
      <c r="F65" s="60"/>
    </row>
    <row r="67" customFormat="false" ht="15" hidden="false" customHeight="true" outlineLevel="0" collapsed="false">
      <c r="B67" s="46" t="s">
        <v>99</v>
      </c>
      <c r="C67" s="59"/>
      <c r="D67" s="59"/>
      <c r="E67" s="59"/>
      <c r="F67" s="59"/>
    </row>
    <row r="68" customFormat="false" ht="18" hidden="false" customHeight="true" outlineLevel="0" collapsed="false">
      <c r="B68" s="44"/>
      <c r="C68" s="45" t="s">
        <v>42</v>
      </c>
      <c r="D68" s="45" t="s">
        <v>100</v>
      </c>
      <c r="E68" s="45" t="s">
        <v>101</v>
      </c>
      <c r="F68" s="45" t="s">
        <v>102</v>
      </c>
      <c r="G68" s="45"/>
    </row>
    <row r="69" customFormat="false" ht="15" hidden="false" customHeight="true" outlineLevel="0" collapsed="false">
      <c r="B69" s="47" t="s">
        <v>24</v>
      </c>
      <c r="C69" s="62" t="n">
        <f aca="false">Model!C149/1000</f>
        <v>22.685668548311</v>
      </c>
      <c r="D69" s="62" t="n">
        <f aca="false">Model!D149/1000</f>
        <v>20.216592343311</v>
      </c>
      <c r="E69" s="62" t="n">
        <f aca="false">Model!E149/1000</f>
        <v>18.815639428311</v>
      </c>
      <c r="F69" s="62" t="n">
        <f aca="false">Model!F149/1000</f>
        <v>15.812501578311</v>
      </c>
    </row>
    <row r="70" customFormat="false" ht="15" hidden="false" customHeight="true" outlineLevel="0" collapsed="false">
      <c r="B70" s="47" t="s">
        <v>25</v>
      </c>
      <c r="C70" s="55" t="n">
        <f aca="false">Model!C150</f>
        <v>0.017379543720732</v>
      </c>
      <c r="D70" s="55" t="n">
        <f aca="false">Model!D150</f>
        <v>0.0154879786666436</v>
      </c>
      <c r="E70" s="55" t="n">
        <f aca="false">Model!E150</f>
        <v>0.0144147053626156</v>
      </c>
      <c r="F70" s="55" t="n">
        <f aca="false">Model!F150</f>
        <v>0.0121139944334971</v>
      </c>
    </row>
    <row r="71" customFormat="false" ht="15" hidden="false" customHeight="true" outlineLevel="0" collapsed="false">
      <c r="B71" s="47" t="s">
        <v>103</v>
      </c>
      <c r="C71" s="62" t="n">
        <f aca="false">Model!C157/1000</f>
        <v>11.1935414789975</v>
      </c>
      <c r="D71" s="62" t="n">
        <f aca="false">Model!D157/1000</f>
        <v>9.82159556470213</v>
      </c>
      <c r="E71" s="62" t="n">
        <f aca="false">Model!E157/1000</f>
        <v>10.7483352288053</v>
      </c>
      <c r="F71" s="62" t="n">
        <f aca="false">Model!F157/1000</f>
        <v>5.94258523714898</v>
      </c>
    </row>
    <row r="72" customFormat="false" ht="15" hidden="false" customHeight="true" outlineLevel="0" collapsed="false">
      <c r="B72" s="47" t="s">
        <v>104</v>
      </c>
      <c r="C72" s="56" t="n">
        <f aca="false">Engine!C251</f>
        <v>0.158796558254004</v>
      </c>
      <c r="D72" s="56" t="n">
        <f aca="false">Engine!C252</f>
        <v>0.158976443419179</v>
      </c>
      <c r="E72" s="56" t="n">
        <f aca="false">Engine!C253</f>
        <v>0.157778176664793</v>
      </c>
      <c r="F72" s="56" t="n">
        <f aca="false">Engine!C254</f>
        <v>0.160190433404215</v>
      </c>
    </row>
    <row r="73" customFormat="false" ht="15" hidden="false" customHeight="true" outlineLevel="0" collapsed="false">
      <c r="B73" s="63" t="str">
        <f aca="false">"Validation: "&amp;Model!E265&amp;" | "&amp;Model!E267&amp;" | "&amp;Model!E268</f>
        <v>Validation: PASS | PASS | PASS</v>
      </c>
      <c r="C73" s="63"/>
      <c r="D73" s="63"/>
      <c r="E73" s="63"/>
      <c r="F73" s="63"/>
      <c r="G73" s="63"/>
    </row>
    <row r="74" customFormat="false" ht="15" hidden="false" customHeight="true" outlineLevel="0" collapsed="false">
      <c r="B74" s="63" t="str">
        <f aca="false">"Model "&amp;Engine!C103&amp;"  |  Last updated: "&amp;TEXT(Engine!C111,"DD-MMM-YYYY")&amp;"  |  Prepared by: "&amp;Engine!F111</f>
        <v>Model v1.0  |  Last updated: 24-Mar-2026  |  Prepared by: Hossam Eltarrass</v>
      </c>
      <c r="C74" s="63"/>
      <c r="D74" s="63"/>
      <c r="E74" s="63"/>
      <c r="F74" s="63"/>
      <c r="G74" s="63"/>
    </row>
    <row r="76" customFormat="false" ht="21" hidden="false" customHeight="true" outlineLevel="0" collapsed="false">
      <c r="B76" s="6" t="s">
        <v>105</v>
      </c>
      <c r="C76" s="6"/>
      <c r="D76" s="6"/>
      <c r="E76" s="6"/>
      <c r="F76" s="6"/>
      <c r="G76" s="6"/>
    </row>
    <row r="122" customFormat="false" ht="15" hidden="true" customHeight="true" outlineLevel="0" collapsed="false">
      <c r="B122" s="1" t="s">
        <v>106</v>
      </c>
      <c r="D122" s="1" t="n">
        <v>0.135</v>
      </c>
      <c r="E122" s="1" t="n">
        <v>0.135</v>
      </c>
      <c r="F122" s="1" t="n">
        <v>0.135</v>
      </c>
      <c r="G122" s="1" t="n">
        <v>0.135</v>
      </c>
    </row>
  </sheetData>
  <mergeCells count="14">
    <mergeCell ref="B2:F2"/>
    <mergeCell ref="B3:F3"/>
    <mergeCell ref="B4:F4"/>
    <mergeCell ref="B6:F6"/>
    <mergeCell ref="B12:F12"/>
    <mergeCell ref="B35:F35"/>
    <mergeCell ref="B48:F48"/>
    <mergeCell ref="B55:F55"/>
    <mergeCell ref="D63:F63"/>
    <mergeCell ref="D64:F64"/>
    <mergeCell ref="D65:F65"/>
    <mergeCell ref="B73:G73"/>
    <mergeCell ref="B74:G74"/>
    <mergeCell ref="B76:G76"/>
  </mergeCells>
  <dataValidations count="1">
    <dataValidation allowBlank="false" error="Select Base, Rate Hike, Rate Cut, or Stress" errorStyle="stop" errorTitle="Invalid Scenario" operator="between" prompt="Select the active scenario" promptTitle="Scenario" showDropDown="false" showErrorMessage="true" showInputMessage="true" sqref="G3" type="list">
      <formula1>"Base,Rate Hike,Rate Cut,Stress"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H2" activeCellId="0" sqref="H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.42"/>
    <col collapsed="false" customWidth="true" hidden="false" outlineLevel="0" max="2" min="2" style="1" width="48"/>
    <col collapsed="false" customWidth="true" hidden="false" outlineLevel="0" max="7" min="3" style="1" width="16"/>
  </cols>
  <sheetData>
    <row r="1" customFormat="false" ht="21.75" hidden="false" customHeight="true" outlineLevel="0" collapsed="false">
      <c r="A1" s="64"/>
      <c r="B1" s="65" t="s">
        <v>107</v>
      </c>
      <c r="C1" s="65"/>
      <c r="D1" s="65"/>
      <c r="E1" s="66"/>
      <c r="F1" s="66"/>
      <c r="G1" s="67"/>
    </row>
    <row r="2" customFormat="false" ht="15" hidden="false" customHeight="true" outlineLevel="0" collapsed="false">
      <c r="A2" s="68"/>
      <c r="B2" s="69" t="s">
        <v>108</v>
      </c>
      <c r="C2" s="70" t="s">
        <v>109</v>
      </c>
      <c r="D2" s="70" t="s">
        <v>51</v>
      </c>
      <c r="E2" s="68"/>
      <c r="F2" s="68"/>
      <c r="G2" s="68"/>
    </row>
    <row r="3" customFormat="false" ht="15" hidden="false" customHeight="true" outlineLevel="0" collapsed="false">
      <c r="A3" s="68"/>
      <c r="B3" s="71" t="s">
        <v>55</v>
      </c>
      <c r="C3" s="71"/>
      <c r="D3" s="71"/>
      <c r="E3" s="68"/>
      <c r="F3" s="68"/>
      <c r="G3" s="68"/>
    </row>
    <row r="4" customFormat="false" ht="15.75" hidden="false" customHeight="true" outlineLevel="0" collapsed="false">
      <c r="A4" s="68"/>
      <c r="B4" s="72" t="s">
        <v>110</v>
      </c>
      <c r="C4" s="73" t="n">
        <v>182496</v>
      </c>
      <c r="D4" s="73" t="n">
        <v>211330</v>
      </c>
      <c r="E4" s="68"/>
      <c r="F4" s="68"/>
      <c r="G4" s="68"/>
    </row>
    <row r="5" customFormat="false" ht="15.75" hidden="false" customHeight="true" outlineLevel="0" collapsed="false">
      <c r="A5" s="68"/>
      <c r="B5" s="72" t="s">
        <v>111</v>
      </c>
      <c r="C5" s="73" t="n">
        <v>267357</v>
      </c>
      <c r="D5" s="73" t="n">
        <v>321293</v>
      </c>
      <c r="E5" s="68"/>
      <c r="F5" s="68"/>
      <c r="G5" s="68"/>
    </row>
    <row r="6" customFormat="false" ht="15.75" hidden="false" customHeight="true" outlineLevel="0" collapsed="false">
      <c r="A6" s="68"/>
      <c r="B6" s="72" t="s">
        <v>112</v>
      </c>
      <c r="C6" s="73" t="n">
        <v>225699</v>
      </c>
      <c r="D6" s="73" t="n">
        <v>254310</v>
      </c>
      <c r="E6" s="68"/>
      <c r="F6" s="68"/>
      <c r="G6" s="68"/>
    </row>
    <row r="7" customFormat="false" ht="15.75" hidden="false" customHeight="true" outlineLevel="0" collapsed="false">
      <c r="A7" s="68"/>
      <c r="B7" s="72" t="s">
        <v>113</v>
      </c>
      <c r="C7" s="73" t="n">
        <v>322631</v>
      </c>
      <c r="D7" s="73" t="n">
        <v>274625</v>
      </c>
      <c r="E7" s="68"/>
      <c r="F7" s="68"/>
      <c r="G7" s="68"/>
    </row>
    <row r="8" customFormat="false" ht="15.75" hidden="false" customHeight="true" outlineLevel="0" collapsed="false">
      <c r="A8" s="68"/>
      <c r="B8" s="74" t="s">
        <v>114</v>
      </c>
      <c r="C8" s="73" t="n">
        <v>20851</v>
      </c>
      <c r="D8" s="73" t="n">
        <v>20017</v>
      </c>
      <c r="E8" s="68"/>
      <c r="F8" s="68"/>
      <c r="G8" s="68"/>
    </row>
    <row r="9" customFormat="false" ht="15.75" hidden="false" customHeight="true" outlineLevel="0" collapsed="false">
      <c r="A9" s="68"/>
      <c r="B9" s="74" t="s">
        <v>115</v>
      </c>
      <c r="C9" s="73" t="n">
        <v>71430</v>
      </c>
      <c r="D9" s="73" t="n">
        <v>77940</v>
      </c>
      <c r="E9" s="68"/>
      <c r="F9" s="68"/>
      <c r="G9" s="68"/>
    </row>
    <row r="10" customFormat="false" ht="15.75" hidden="false" customHeight="true" outlineLevel="0" collapsed="false">
      <c r="A10" s="68"/>
      <c r="B10" s="72" t="s">
        <v>116</v>
      </c>
      <c r="C10" s="73" t="n">
        <v>1610</v>
      </c>
      <c r="D10" s="73" t="n">
        <v>1420</v>
      </c>
      <c r="E10" s="68"/>
      <c r="F10" s="68"/>
      <c r="G10" s="68"/>
    </row>
    <row r="11" customFormat="false" ht="15.75" hidden="false" customHeight="true" outlineLevel="0" collapsed="false">
      <c r="A11" s="68"/>
      <c r="B11" s="72" t="s">
        <v>117</v>
      </c>
      <c r="C11" s="73" t="n">
        <v>31147</v>
      </c>
      <c r="D11" s="73" t="n">
        <v>26259</v>
      </c>
      <c r="E11" s="68"/>
      <c r="F11" s="68"/>
      <c r="G11" s="68"/>
    </row>
    <row r="12" customFormat="false" ht="15.75" hidden="false" customHeight="true" outlineLevel="0" collapsed="false">
      <c r="A12" s="68"/>
      <c r="B12" s="72" t="s">
        <v>118</v>
      </c>
      <c r="C12" s="73" t="n">
        <v>900141</v>
      </c>
      <c r="D12" s="73" t="n">
        <v>897358</v>
      </c>
      <c r="E12" s="68"/>
      <c r="F12" s="68"/>
      <c r="G12" s="68"/>
    </row>
    <row r="13" customFormat="false" ht="15.75" hidden="false" customHeight="true" outlineLevel="0" collapsed="false">
      <c r="A13" s="68"/>
      <c r="B13" s="72" t="s">
        <v>119</v>
      </c>
      <c r="C13" s="73" t="n">
        <v>146975</v>
      </c>
      <c r="D13" s="73" t="n">
        <v>151687</v>
      </c>
      <c r="E13" s="68"/>
      <c r="F13" s="68"/>
      <c r="G13" s="68"/>
    </row>
    <row r="14" customFormat="false" ht="15.75" hidden="false" customHeight="true" outlineLevel="0" collapsed="false">
      <c r="A14" s="68"/>
      <c r="B14" s="72" t="s">
        <v>120</v>
      </c>
      <c r="C14" s="73" t="n">
        <v>-758</v>
      </c>
      <c r="D14" s="73" t="n">
        <v>-2335</v>
      </c>
      <c r="E14" s="68"/>
      <c r="F14" s="68"/>
      <c r="G14" s="68"/>
    </row>
    <row r="15" customFormat="false" ht="15.75" hidden="false" customHeight="true" outlineLevel="0" collapsed="false">
      <c r="A15" s="68"/>
      <c r="B15" s="74" t="s">
        <v>121</v>
      </c>
      <c r="C15" s="73" t="n">
        <v>286849</v>
      </c>
      <c r="D15" s="73" t="n">
        <v>305471</v>
      </c>
      <c r="E15" s="68"/>
      <c r="F15" s="68"/>
      <c r="G15" s="68"/>
    </row>
    <row r="16" customFormat="false" ht="15.75" hidden="false" customHeight="true" outlineLevel="0" collapsed="false">
      <c r="A16" s="68"/>
      <c r="B16" s="72" t="s">
        <v>122</v>
      </c>
      <c r="C16" s="73" t="n">
        <v>6215</v>
      </c>
      <c r="D16" s="73" t="n">
        <v>5746</v>
      </c>
      <c r="E16" s="68"/>
      <c r="F16" s="68"/>
      <c r="G16" s="68"/>
    </row>
    <row r="17" customFormat="false" ht="15.75" hidden="false" customHeight="true" outlineLevel="0" collapsed="false">
      <c r="A17" s="68"/>
      <c r="B17" s="72" t="s">
        <v>123</v>
      </c>
      <c r="C17" s="73" t="n">
        <v>174147</v>
      </c>
      <c r="D17" s="73" t="n">
        <v>167788</v>
      </c>
      <c r="E17" s="68"/>
      <c r="F17" s="68"/>
      <c r="G17" s="68"/>
    </row>
    <row r="18" customFormat="false" ht="15.75" hidden="false" customHeight="true" outlineLevel="0" collapsed="false">
      <c r="A18" s="68"/>
      <c r="B18" s="72" t="s">
        <v>124</v>
      </c>
      <c r="C18" s="73" t="n">
        <v>7862</v>
      </c>
      <c r="D18" s="73" t="n">
        <v>6950</v>
      </c>
      <c r="E18" s="68"/>
      <c r="F18" s="68"/>
      <c r="G18" s="68"/>
    </row>
    <row r="19" customFormat="false" ht="15.75" hidden="false" customHeight="true" outlineLevel="0" collapsed="false">
      <c r="A19" s="68"/>
      <c r="B19" s="72" t="s">
        <v>125</v>
      </c>
      <c r="C19" s="73" t="n">
        <v>50314</v>
      </c>
      <c r="D19" s="73" t="n">
        <v>53601</v>
      </c>
      <c r="E19" s="68"/>
      <c r="F19" s="68"/>
      <c r="G19" s="68"/>
    </row>
    <row r="20" customFormat="false" ht="15.75" hidden="false" customHeight="true" outlineLevel="0" collapsed="false">
      <c r="A20" s="68"/>
      <c r="B20" s="72" t="s">
        <v>126</v>
      </c>
      <c r="C20" s="73" t="n">
        <v>4392</v>
      </c>
      <c r="D20" s="73" t="n">
        <v>4583</v>
      </c>
      <c r="E20" s="68"/>
      <c r="F20" s="68"/>
      <c r="G20" s="68"/>
    </row>
    <row r="21" customFormat="false" ht="15.75" hidden="false" customHeight="true" outlineLevel="0" collapsed="false">
      <c r="A21" s="68"/>
      <c r="B21" s="72" t="s">
        <v>127</v>
      </c>
      <c r="C21" s="73" t="n">
        <v>5550</v>
      </c>
      <c r="D21" s="73" t="n">
        <v>7133</v>
      </c>
      <c r="E21" s="68"/>
      <c r="F21" s="68"/>
      <c r="G21" s="68"/>
    </row>
    <row r="22" customFormat="false" ht="15.75" hidden="false" customHeight="true" outlineLevel="0" collapsed="false">
      <c r="A22" s="68"/>
      <c r="B22" s="72" t="s">
        <v>128</v>
      </c>
      <c r="C22" s="75"/>
      <c r="D22" s="73" t="n">
        <v>7805</v>
      </c>
      <c r="E22" s="68"/>
      <c r="F22" s="68"/>
      <c r="G22" s="68"/>
    </row>
    <row r="23" customFormat="false" ht="15" hidden="false" customHeight="true" outlineLevel="0" collapsed="false">
      <c r="A23" s="68"/>
      <c r="B23" s="76" t="s">
        <v>62</v>
      </c>
      <c r="C23" s="73" t="n">
        <v>2704908</v>
      </c>
      <c r="D23" s="73" t="n">
        <v>2792981</v>
      </c>
      <c r="E23" s="68"/>
      <c r="F23" s="68"/>
      <c r="G23" s="68"/>
    </row>
    <row r="24" customFormat="false" ht="15" hidden="false" customHeight="true" outlineLevel="0" collapsed="false">
      <c r="A24" s="68"/>
      <c r="B24" s="71" t="s">
        <v>129</v>
      </c>
      <c r="C24" s="71"/>
      <c r="D24" s="71"/>
      <c r="E24" s="68"/>
      <c r="F24" s="68"/>
      <c r="G24" s="68"/>
    </row>
    <row r="25" customFormat="false" ht="15.75" hidden="false" customHeight="true" outlineLevel="0" collapsed="false">
      <c r="A25" s="68"/>
      <c r="B25" s="72" t="s">
        <v>130</v>
      </c>
      <c r="C25" s="73" t="n">
        <v>3366</v>
      </c>
      <c r="D25" s="73" t="n">
        <v>4401</v>
      </c>
      <c r="E25" s="68"/>
      <c r="F25" s="68"/>
      <c r="G25" s="68"/>
    </row>
    <row r="26" customFormat="false" ht="15.75" hidden="false" customHeight="true" outlineLevel="0" collapsed="false">
      <c r="A26" s="68"/>
      <c r="B26" s="72" t="s">
        <v>131</v>
      </c>
      <c r="C26" s="73" t="n">
        <v>79958</v>
      </c>
      <c r="D26" s="73" t="n">
        <v>98487</v>
      </c>
      <c r="E26" s="68"/>
      <c r="F26" s="68"/>
      <c r="G26" s="68"/>
    </row>
    <row r="27" customFormat="false" ht="15.75" hidden="false" customHeight="true" outlineLevel="0" collapsed="false">
      <c r="A27" s="68"/>
      <c r="B27" s="72" t="s">
        <v>132</v>
      </c>
      <c r="C27" s="73" t="n">
        <v>304817</v>
      </c>
      <c r="D27" s="73" t="n">
        <v>357947</v>
      </c>
      <c r="E27" s="68"/>
      <c r="F27" s="68"/>
      <c r="G27" s="68"/>
    </row>
    <row r="28" customFormat="false" ht="15.75" hidden="false" customHeight="true" outlineLevel="0" collapsed="false">
      <c r="A28" s="68"/>
      <c r="B28" s="72" t="s">
        <v>133</v>
      </c>
      <c r="C28" s="73" t="n">
        <v>104934</v>
      </c>
      <c r="D28" s="73" t="n">
        <v>129279</v>
      </c>
      <c r="E28" s="68"/>
      <c r="F28" s="68"/>
      <c r="G28" s="68"/>
    </row>
    <row r="29" customFormat="false" ht="15.75" hidden="false" customHeight="true" outlineLevel="0" collapsed="false">
      <c r="A29" s="68"/>
      <c r="B29" s="72" t="s">
        <v>134</v>
      </c>
      <c r="C29" s="73" t="n">
        <v>301953</v>
      </c>
      <c r="D29" s="73" t="n">
        <v>252726</v>
      </c>
      <c r="E29" s="68"/>
      <c r="F29" s="68"/>
      <c r="G29" s="68"/>
    </row>
    <row r="30" customFormat="false" ht="15.75" hidden="false" customHeight="true" outlineLevel="0" collapsed="false">
      <c r="A30" s="68"/>
      <c r="B30" s="74" t="s">
        <v>135</v>
      </c>
      <c r="C30" s="73" t="n">
        <v>36864</v>
      </c>
      <c r="D30" s="73" t="n">
        <v>28493</v>
      </c>
      <c r="E30" s="68"/>
      <c r="F30" s="68"/>
      <c r="G30" s="68"/>
    </row>
    <row r="31" customFormat="false" ht="15.75" hidden="false" customHeight="true" outlineLevel="0" collapsed="false">
      <c r="A31" s="68"/>
      <c r="B31" s="72" t="s">
        <v>136</v>
      </c>
      <c r="C31" s="73" t="n">
        <v>66872</v>
      </c>
      <c r="D31" s="73" t="n">
        <v>69938</v>
      </c>
      <c r="E31" s="68"/>
      <c r="F31" s="68"/>
      <c r="G31" s="68"/>
    </row>
    <row r="32" customFormat="false" ht="15.75" hidden="false" customHeight="true" outlineLevel="0" collapsed="false">
      <c r="A32" s="68"/>
      <c r="B32" s="72" t="s">
        <v>137</v>
      </c>
      <c r="C32" s="73" t="n">
        <v>1034857</v>
      </c>
      <c r="D32" s="73" t="n">
        <v>1075564</v>
      </c>
      <c r="E32" s="68"/>
      <c r="F32" s="68"/>
      <c r="G32" s="68"/>
    </row>
    <row r="33" customFormat="false" ht="15.75" hidden="false" customHeight="true" outlineLevel="0" collapsed="false">
      <c r="A33" s="68"/>
      <c r="B33" s="72" t="s">
        <v>138</v>
      </c>
      <c r="C33" s="73" t="n">
        <v>198119</v>
      </c>
      <c r="D33" s="73" t="n">
        <v>173933</v>
      </c>
      <c r="E33" s="68"/>
      <c r="F33" s="68"/>
      <c r="G33" s="68"/>
    </row>
    <row r="34" customFormat="false" ht="15.75" hidden="false" customHeight="true" outlineLevel="0" collapsed="false">
      <c r="A34" s="68"/>
      <c r="B34" s="72" t="s">
        <v>139</v>
      </c>
      <c r="C34" s="73" t="n">
        <v>31799</v>
      </c>
      <c r="D34" s="73" t="n">
        <v>34468</v>
      </c>
      <c r="E34" s="68"/>
      <c r="F34" s="68"/>
      <c r="G34" s="68"/>
    </row>
    <row r="35" customFormat="false" ht="15.75" hidden="false" customHeight="true" outlineLevel="0" collapsed="false">
      <c r="A35" s="68"/>
      <c r="B35" s="72" t="s">
        <v>120</v>
      </c>
      <c r="C35" s="73" t="n">
        <v>-10696</v>
      </c>
      <c r="D35" s="73" t="n">
        <v>-9811</v>
      </c>
      <c r="E35" s="68"/>
      <c r="F35" s="68"/>
      <c r="G35" s="68"/>
    </row>
    <row r="36" customFormat="false" ht="15.75" hidden="false" customHeight="true" outlineLevel="0" collapsed="false">
      <c r="A36" s="68"/>
      <c r="B36" s="72" t="s">
        <v>140</v>
      </c>
      <c r="C36" s="73" t="n">
        <v>3657</v>
      </c>
      <c r="D36" s="73" t="n">
        <v>3336</v>
      </c>
      <c r="E36" s="68"/>
      <c r="F36" s="68"/>
      <c r="G36" s="68"/>
    </row>
    <row r="37" customFormat="false" ht="15.75" hidden="false" customHeight="true" outlineLevel="0" collapsed="false">
      <c r="A37" s="68"/>
      <c r="B37" s="72" t="s">
        <v>141</v>
      </c>
      <c r="C37" s="73" t="n">
        <v>136955</v>
      </c>
      <c r="D37" s="73" t="n">
        <v>143059</v>
      </c>
      <c r="E37" s="68"/>
      <c r="F37" s="68"/>
      <c r="G37" s="68"/>
    </row>
    <row r="38" customFormat="false" ht="15.75" hidden="false" customHeight="true" outlineLevel="0" collapsed="false">
      <c r="A38" s="68"/>
      <c r="B38" s="72" t="s">
        <v>142</v>
      </c>
      <c r="C38" s="73" t="n">
        <v>247699</v>
      </c>
      <c r="D38" s="73" t="n">
        <v>261223</v>
      </c>
      <c r="E38" s="68"/>
      <c r="F38" s="68"/>
      <c r="G38" s="68"/>
    </row>
    <row r="39" customFormat="false" ht="15.75" hidden="false" customHeight="true" outlineLevel="0" collapsed="false">
      <c r="A39" s="68"/>
      <c r="B39" s="72" t="s">
        <v>143</v>
      </c>
      <c r="C39" s="73" t="n">
        <v>19807</v>
      </c>
      <c r="D39" s="73" t="n">
        <v>21500</v>
      </c>
      <c r="E39" s="68"/>
      <c r="F39" s="68"/>
      <c r="G39" s="68"/>
    </row>
    <row r="40" customFormat="false" ht="15.75" hidden="false" customHeight="true" outlineLevel="0" collapsed="false">
      <c r="A40" s="68"/>
      <c r="B40" s="72" t="s">
        <v>144</v>
      </c>
      <c r="C40" s="73" t="n">
        <v>9806</v>
      </c>
      <c r="D40" s="73" t="n">
        <v>10193</v>
      </c>
      <c r="E40" s="68"/>
      <c r="F40" s="68"/>
      <c r="G40" s="68"/>
    </row>
    <row r="41" customFormat="false" ht="15.75" hidden="false" customHeight="true" outlineLevel="0" collapsed="false">
      <c r="A41" s="68"/>
      <c r="B41" s="72" t="s">
        <v>145</v>
      </c>
      <c r="C41" s="75"/>
      <c r="D41" s="73" t="n">
        <v>6072</v>
      </c>
      <c r="E41" s="68"/>
      <c r="F41" s="68"/>
      <c r="G41" s="68"/>
    </row>
    <row r="42" customFormat="false" ht="15" hidden="false" customHeight="true" outlineLevel="0" collapsed="false">
      <c r="A42" s="68"/>
      <c r="B42" s="77" t="s">
        <v>70</v>
      </c>
      <c r="C42" s="73" t="n">
        <v>2570767</v>
      </c>
      <c r="D42" s="73" t="n">
        <v>2660808</v>
      </c>
      <c r="E42" s="68"/>
      <c r="F42" s="68"/>
      <c r="G42" s="68"/>
    </row>
    <row r="43" customFormat="false" ht="15" hidden="false" customHeight="true" outlineLevel="0" collapsed="false">
      <c r="A43" s="68"/>
      <c r="B43" s="71" t="s">
        <v>146</v>
      </c>
      <c r="C43" s="71"/>
      <c r="D43" s="71"/>
      <c r="E43" s="68"/>
      <c r="F43" s="68"/>
      <c r="G43" s="68"/>
    </row>
    <row r="44" customFormat="false" ht="15.75" hidden="false" customHeight="true" outlineLevel="0" collapsed="false">
      <c r="A44" s="68"/>
      <c r="B44" s="72" t="s">
        <v>147</v>
      </c>
      <c r="C44" s="73" t="n">
        <v>118957</v>
      </c>
      <c r="D44" s="73" t="n">
        <v>117787</v>
      </c>
      <c r="E44" s="68"/>
      <c r="F44" s="68"/>
      <c r="G44" s="68"/>
    </row>
    <row r="45" customFormat="false" ht="15.75" hidden="false" customHeight="true" outlineLevel="0" collapsed="false">
      <c r="A45" s="68"/>
      <c r="B45" s="72" t="s">
        <v>148</v>
      </c>
      <c r="C45" s="73" t="n">
        <v>11688</v>
      </c>
      <c r="D45" s="73" t="n">
        <v>12225</v>
      </c>
      <c r="E45" s="68"/>
      <c r="F45" s="68"/>
      <c r="G45" s="68"/>
    </row>
    <row r="46" customFormat="false" ht="15.75" hidden="false" customHeight="true" outlineLevel="0" collapsed="false">
      <c r="A46" s="68"/>
      <c r="B46" s="77" t="s">
        <v>149</v>
      </c>
      <c r="C46" s="73" t="n">
        <v>130645</v>
      </c>
      <c r="D46" s="73" t="n">
        <v>130012</v>
      </c>
      <c r="E46" s="68"/>
      <c r="F46" s="68"/>
      <c r="G46" s="68"/>
    </row>
    <row r="47" customFormat="false" ht="15.75" hidden="false" customHeight="true" outlineLevel="0" collapsed="false">
      <c r="A47" s="68"/>
      <c r="B47" s="72" t="s">
        <v>150</v>
      </c>
      <c r="C47" s="73" t="n">
        <v>-2508</v>
      </c>
      <c r="D47" s="73" t="n">
        <v>-4499</v>
      </c>
      <c r="E47" s="68"/>
      <c r="F47" s="68"/>
      <c r="G47" s="68"/>
    </row>
    <row r="48" customFormat="false" ht="15.75" hidden="false" customHeight="true" outlineLevel="0" collapsed="false">
      <c r="A48" s="68"/>
      <c r="B48" s="72" t="s">
        <v>151</v>
      </c>
      <c r="C48" s="73" t="n">
        <v>128137</v>
      </c>
      <c r="D48" s="73" t="n">
        <v>125513</v>
      </c>
      <c r="E48" s="68"/>
      <c r="F48" s="68"/>
      <c r="G48" s="68"/>
    </row>
    <row r="49" customFormat="false" ht="15.75" hidden="false" customHeight="true" outlineLevel="0" collapsed="false">
      <c r="A49" s="68"/>
      <c r="B49" s="72" t="s">
        <v>152</v>
      </c>
      <c r="C49" s="73" t="n">
        <v>6004</v>
      </c>
      <c r="D49" s="73" t="n">
        <v>6660</v>
      </c>
      <c r="E49" s="68"/>
      <c r="F49" s="68"/>
      <c r="G49" s="68"/>
    </row>
    <row r="50" customFormat="false" ht="15" hidden="false" customHeight="true" outlineLevel="0" collapsed="false">
      <c r="A50" s="68"/>
      <c r="B50" s="77" t="s">
        <v>153</v>
      </c>
      <c r="C50" s="73" t="n">
        <v>134141</v>
      </c>
      <c r="D50" s="73" t="n">
        <v>132173</v>
      </c>
      <c r="E50" s="68"/>
      <c r="F50" s="68"/>
      <c r="G50" s="68"/>
    </row>
    <row r="51" customFormat="false" ht="15" hidden="false" customHeight="true" outlineLevel="0" collapsed="false">
      <c r="A51" s="68"/>
      <c r="B51" s="77" t="s">
        <v>154</v>
      </c>
      <c r="C51" s="73" t="n">
        <v>2704908</v>
      </c>
      <c r="D51" s="73" t="n">
        <v>2792981</v>
      </c>
      <c r="E51" s="68"/>
      <c r="F51" s="68"/>
      <c r="G51" s="68"/>
    </row>
    <row r="52" customFormat="false" ht="15" hidden="false" customHeight="true" outlineLevel="0" collapsed="false">
      <c r="A52" s="68"/>
      <c r="B52" s="68"/>
      <c r="C52" s="68"/>
      <c r="D52" s="68"/>
      <c r="E52" s="68"/>
      <c r="F52" s="68"/>
      <c r="G52" s="68"/>
    </row>
    <row r="53" customFormat="false" ht="15" hidden="false" customHeight="true" outlineLevel="0" collapsed="false">
      <c r="A53" s="68"/>
      <c r="B53" s="72" t="s">
        <v>155</v>
      </c>
      <c r="C53" s="72"/>
      <c r="D53" s="72"/>
      <c r="E53" s="68"/>
      <c r="F53" s="68"/>
      <c r="G53" s="68"/>
    </row>
    <row r="54" customFormat="false" ht="15" hidden="false" customHeight="true" outlineLevel="0" collapsed="false">
      <c r="A54" s="68"/>
      <c r="B54" s="68"/>
      <c r="C54" s="68"/>
      <c r="D54" s="68"/>
      <c r="E54" s="68"/>
      <c r="F54" s="68"/>
      <c r="G54" s="68"/>
    </row>
    <row r="55" customFormat="false" ht="15" hidden="false" customHeight="true" outlineLevel="0" collapsed="false">
      <c r="A55" s="68"/>
      <c r="B55" s="68"/>
      <c r="C55" s="68"/>
      <c r="D55" s="68"/>
      <c r="E55" s="68"/>
      <c r="F55" s="68"/>
      <c r="G55" s="68"/>
    </row>
    <row r="56" customFormat="false" ht="15" hidden="false" customHeight="true" outlineLevel="0" collapsed="false">
      <c r="A56" s="68"/>
      <c r="B56" s="68"/>
      <c r="C56" s="68"/>
      <c r="D56" s="68"/>
      <c r="E56" s="68"/>
      <c r="F56" s="68"/>
      <c r="G56" s="68"/>
    </row>
    <row r="57" customFormat="false" ht="15" hidden="false" customHeight="true" outlineLevel="0" collapsed="false">
      <c r="A57" s="68"/>
      <c r="B57" s="68"/>
      <c r="C57" s="68"/>
      <c r="D57" s="68"/>
      <c r="E57" s="68"/>
      <c r="F57" s="68"/>
      <c r="G57" s="68"/>
    </row>
    <row r="58" customFormat="false" ht="15" hidden="false" customHeight="true" outlineLevel="0" collapsed="false">
      <c r="A58" s="68"/>
      <c r="B58" s="68"/>
      <c r="C58" s="68"/>
      <c r="D58" s="68"/>
      <c r="E58" s="68"/>
      <c r="F58" s="68"/>
      <c r="G58" s="68"/>
    </row>
  </sheetData>
  <mergeCells count="4">
    <mergeCell ref="B3:D3"/>
    <mergeCell ref="B24:D24"/>
    <mergeCell ref="B43:D43"/>
    <mergeCell ref="B53:D5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A1:L260"/>
  <sheetViews>
    <sheetView showFormulas="false" showGridLines="false" showRowColHeaders="true" showZeros="true" rightToLeft="false" tabSelected="false" showOutlineSymbols="true" defaultGridColor="true" view="normal" topLeftCell="A1" colorId="64" zoomScale="68" zoomScaleNormal="68" zoomScalePageLayoutView="100" workbookViewId="0">
      <selection pane="topLeft" activeCell="B3" activeCellId="0" sqref="B3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2.42"/>
    <col collapsed="false" customWidth="true" hidden="false" outlineLevel="0" max="2" min="2" style="1" width="48"/>
    <col collapsed="false" customWidth="true" hidden="false" outlineLevel="0" max="7" min="3" style="1" width="14"/>
    <col collapsed="false" customWidth="true" hidden="false" outlineLevel="0" max="8" min="8" style="1" width="56"/>
  </cols>
  <sheetData>
    <row r="1" customFormat="false" ht="21" hidden="false" customHeight="true" outlineLevel="0" collapsed="false">
      <c r="A1" s="64"/>
      <c r="B1" s="65" t="s">
        <v>156</v>
      </c>
      <c r="C1" s="65"/>
      <c r="D1" s="65"/>
      <c r="E1" s="65"/>
      <c r="F1" s="65"/>
      <c r="G1" s="65"/>
      <c r="H1" s="65"/>
      <c r="I1" s="65"/>
      <c r="J1" s="78"/>
      <c r="K1" s="68"/>
      <c r="L1" s="68"/>
    </row>
    <row r="2" customFormat="false" ht="21" hidden="false" customHeight="true" outlineLevel="0" collapsed="false">
      <c r="A2" s="64"/>
      <c r="B2" s="79" t="s">
        <v>157</v>
      </c>
      <c r="C2" s="79"/>
      <c r="D2" s="79"/>
      <c r="E2" s="79"/>
      <c r="F2" s="79"/>
      <c r="G2" s="79"/>
      <c r="H2" s="79" t="s">
        <v>158</v>
      </c>
      <c r="I2" s="79"/>
      <c r="J2" s="78"/>
      <c r="K2" s="68"/>
      <c r="L2" s="68"/>
    </row>
    <row r="3" customFormat="false" ht="21.75" hidden="false" customHeight="true" outlineLevel="1" collapsed="false">
      <c r="A3" s="68"/>
      <c r="B3" s="80" t="s">
        <v>159</v>
      </c>
      <c r="C3" s="80"/>
      <c r="D3" s="80"/>
      <c r="E3" s="80"/>
      <c r="F3" s="80"/>
      <c r="G3" s="80"/>
      <c r="H3" s="80"/>
      <c r="I3" s="68"/>
      <c r="J3" s="68"/>
      <c r="K3" s="68"/>
      <c r="L3" s="68"/>
    </row>
    <row r="4" customFormat="false" ht="17.25" hidden="false" customHeight="true" outlineLevel="1" collapsed="false">
      <c r="A4" s="68"/>
      <c r="B4" s="74" t="s">
        <v>160</v>
      </c>
      <c r="C4" s="81" t="n">
        <f aca="false">Dashboard!G4</f>
        <v>1</v>
      </c>
      <c r="D4" s="82"/>
      <c r="E4" s="82"/>
      <c r="F4" s="82"/>
      <c r="G4" s="82"/>
      <c r="H4" s="82"/>
      <c r="I4" s="68"/>
      <c r="J4" s="68"/>
      <c r="K4" s="68"/>
      <c r="L4" s="68"/>
    </row>
    <row r="5" customFormat="false" ht="15" hidden="false" customHeight="true" outlineLevel="1" collapsed="false">
      <c r="A5" s="68"/>
      <c r="B5" s="72" t="s">
        <v>161</v>
      </c>
      <c r="C5" s="83" t="n">
        <f aca="false">CHOOSE($C$4,C7,C8,C9,C10)</f>
        <v>0</v>
      </c>
      <c r="D5" s="84" t="n">
        <f aca="false">CHOOSE($C$4,D7,D8,D9,D10)</f>
        <v>0.03</v>
      </c>
      <c r="E5" s="84" t="n">
        <f aca="false">CHOOSE($C$4,E7,E8,E9,E10)</f>
        <v>0.025</v>
      </c>
      <c r="F5" s="85" t="n">
        <f aca="false">CHOOSE($C$4,F7,F8,F9,F10)</f>
        <v>0.4</v>
      </c>
      <c r="G5" s="86" t="n">
        <f aca="false">CHOOSE($C$4,G7,G8,G9,G10)</f>
        <v>25</v>
      </c>
      <c r="H5" s="87" t="n">
        <f aca="false">CHOOSE($C$4,H7,H8,H9,H10)</f>
        <v>0.62</v>
      </c>
      <c r="I5" s="68"/>
      <c r="J5" s="68"/>
      <c r="K5" s="68"/>
      <c r="L5" s="68"/>
    </row>
    <row r="6" customFormat="false" ht="15" hidden="false" customHeight="true" outlineLevel="1" collapsed="false">
      <c r="A6" s="68"/>
      <c r="B6" s="88"/>
      <c r="C6" s="70" t="s">
        <v>162</v>
      </c>
      <c r="D6" s="70" t="s">
        <v>163</v>
      </c>
      <c r="E6" s="70" t="s">
        <v>164</v>
      </c>
      <c r="F6" s="70" t="s">
        <v>165</v>
      </c>
      <c r="G6" s="70" t="s">
        <v>166</v>
      </c>
      <c r="H6" s="70" t="s">
        <v>167</v>
      </c>
      <c r="I6" s="68"/>
      <c r="J6" s="68"/>
      <c r="K6" s="68"/>
      <c r="L6" s="68"/>
    </row>
    <row r="7" customFormat="false" ht="15" hidden="false" customHeight="true" outlineLevel="1" collapsed="false">
      <c r="A7" s="68"/>
      <c r="B7" s="72" t="s">
        <v>168</v>
      </c>
      <c r="C7" s="73" t="n">
        <v>0</v>
      </c>
      <c r="D7" s="89" t="n">
        <v>0.03</v>
      </c>
      <c r="E7" s="89" t="n">
        <v>0.025</v>
      </c>
      <c r="F7" s="89" t="n">
        <v>0.4</v>
      </c>
      <c r="G7" s="73" t="n">
        <v>25</v>
      </c>
      <c r="H7" s="87" t="n">
        <v>0.62</v>
      </c>
      <c r="I7" s="68"/>
      <c r="J7" s="68"/>
      <c r="K7" s="68"/>
      <c r="L7" s="68"/>
    </row>
    <row r="8" customFormat="false" ht="15" hidden="false" customHeight="true" outlineLevel="1" collapsed="false">
      <c r="A8" s="68"/>
      <c r="B8" s="74" t="s">
        <v>169</v>
      </c>
      <c r="C8" s="89" t="n">
        <v>0.02</v>
      </c>
      <c r="D8" s="89" t="n">
        <v>0.02</v>
      </c>
      <c r="E8" s="89" t="n">
        <v>0.02</v>
      </c>
      <c r="F8" s="89" t="n">
        <v>0.5</v>
      </c>
      <c r="G8" s="73" t="n">
        <v>30</v>
      </c>
      <c r="H8" s="87" t="n">
        <v>0.63</v>
      </c>
      <c r="I8" s="68"/>
      <c r="J8" s="68"/>
      <c r="K8" s="68"/>
      <c r="L8" s="68"/>
    </row>
    <row r="9" customFormat="false" ht="15" hidden="false" customHeight="true" outlineLevel="1" collapsed="false">
      <c r="A9" s="68"/>
      <c r="B9" s="72" t="s">
        <v>170</v>
      </c>
      <c r="C9" s="89" t="n">
        <v>-0.02</v>
      </c>
      <c r="D9" s="89" t="n">
        <v>0.04</v>
      </c>
      <c r="E9" s="89" t="n">
        <v>0.03</v>
      </c>
      <c r="F9" s="89" t="n">
        <v>0.3</v>
      </c>
      <c r="G9" s="73" t="n">
        <v>20</v>
      </c>
      <c r="H9" s="87" t="n">
        <v>0.61</v>
      </c>
      <c r="I9" s="68"/>
      <c r="J9" s="68"/>
      <c r="K9" s="68"/>
      <c r="L9" s="68"/>
    </row>
    <row r="10" customFormat="false" ht="15" hidden="false" customHeight="true" outlineLevel="1" collapsed="false">
      <c r="A10" s="68"/>
      <c r="B10" s="74" t="s">
        <v>171</v>
      </c>
      <c r="C10" s="89" t="n">
        <v>0.03</v>
      </c>
      <c r="D10" s="89" t="n">
        <v>0.01</v>
      </c>
      <c r="E10" s="73" t="n">
        <v>0</v>
      </c>
      <c r="F10" s="89" t="n">
        <v>0.6</v>
      </c>
      <c r="G10" s="73" t="n">
        <v>60</v>
      </c>
      <c r="H10" s="87" t="n">
        <v>0.65</v>
      </c>
      <c r="I10" s="68"/>
      <c r="J10" s="68"/>
      <c r="K10" s="68"/>
      <c r="L10" s="68"/>
    </row>
    <row r="11" customFormat="false" ht="15" hidden="false" customHeight="true" outlineLevel="1" collapsed="false">
      <c r="A11" s="68"/>
      <c r="B11" s="88"/>
      <c r="C11" s="88"/>
      <c r="D11" s="88"/>
      <c r="E11" s="88"/>
      <c r="F11" s="88"/>
      <c r="G11" s="88"/>
      <c r="H11" s="90"/>
      <c r="I11" s="68"/>
      <c r="J11" s="68"/>
      <c r="K11" s="68"/>
      <c r="L11" s="68"/>
    </row>
    <row r="12" customFormat="false" ht="21" hidden="false" customHeight="true" outlineLevel="0" collapsed="false">
      <c r="A12" s="64"/>
      <c r="B12" s="79" t="s">
        <v>172</v>
      </c>
      <c r="C12" s="79"/>
      <c r="D12" s="79"/>
      <c r="E12" s="79"/>
      <c r="F12" s="79"/>
      <c r="G12" s="79"/>
      <c r="H12" s="79"/>
      <c r="I12" s="79"/>
      <c r="J12" s="78"/>
      <c r="K12" s="68"/>
      <c r="L12" s="68"/>
    </row>
    <row r="13" customFormat="false" ht="18" hidden="false" customHeight="true" outlineLevel="1" collapsed="false">
      <c r="A13" s="68"/>
      <c r="B13" s="69" t="s">
        <v>173</v>
      </c>
      <c r="C13" s="70" t="s">
        <v>109</v>
      </c>
      <c r="D13" s="70" t="s">
        <v>51</v>
      </c>
      <c r="E13" s="70" t="s">
        <v>52</v>
      </c>
      <c r="F13" s="70" t="s">
        <v>53</v>
      </c>
      <c r="G13" s="70" t="s">
        <v>54</v>
      </c>
      <c r="H13" s="70" t="s">
        <v>174</v>
      </c>
      <c r="I13" s="68"/>
      <c r="J13" s="68"/>
      <c r="K13" s="68"/>
      <c r="L13" s="68"/>
    </row>
    <row r="14" customFormat="false" ht="15" hidden="false" customHeight="true" outlineLevel="1" collapsed="false">
      <c r="A14" s="68"/>
      <c r="B14" s="74" t="s">
        <v>175</v>
      </c>
      <c r="C14" s="89" t="n">
        <v>0.04</v>
      </c>
      <c r="D14" s="89" t="n">
        <v>0.025</v>
      </c>
      <c r="E14" s="89" t="n">
        <v>0.0225</v>
      </c>
      <c r="F14" s="89" t="n">
        <v>0.02</v>
      </c>
      <c r="G14" s="89" t="n">
        <v>0.02</v>
      </c>
      <c r="H14" s="91" t="s">
        <v>176</v>
      </c>
      <c r="I14" s="68"/>
      <c r="J14" s="68"/>
      <c r="K14" s="68"/>
      <c r="L14" s="68"/>
    </row>
    <row r="15" customFormat="false" ht="15" hidden="false" customHeight="true" outlineLevel="1" collapsed="false">
      <c r="A15" s="68"/>
      <c r="B15" s="74" t="s">
        <v>177</v>
      </c>
      <c r="C15" s="89" t="n">
        <v>0.039</v>
      </c>
      <c r="D15" s="89" t="n">
        <v>0.026</v>
      </c>
      <c r="E15" s="89" t="n">
        <v>0.0235</v>
      </c>
      <c r="F15" s="89" t="n">
        <v>0.021</v>
      </c>
      <c r="G15" s="89" t="n">
        <v>0.021</v>
      </c>
      <c r="H15" s="91" t="s">
        <v>178</v>
      </c>
      <c r="I15" s="68"/>
      <c r="J15" s="68"/>
      <c r="K15" s="68"/>
      <c r="L15" s="68"/>
    </row>
    <row r="16" customFormat="false" ht="15" hidden="false" customHeight="true" outlineLevel="1" collapsed="false">
      <c r="A16" s="68"/>
      <c r="B16" s="74" t="s">
        <v>179</v>
      </c>
      <c r="C16" s="89" t="n">
        <v>0.029</v>
      </c>
      <c r="D16" s="89" t="n">
        <v>0.028</v>
      </c>
      <c r="E16" s="89" t="n">
        <v>0.027</v>
      </c>
      <c r="F16" s="89" t="n">
        <v>0.026</v>
      </c>
      <c r="G16" s="89" t="n">
        <v>0.0255</v>
      </c>
      <c r="H16" s="91" t="s">
        <v>180</v>
      </c>
      <c r="I16" s="68"/>
      <c r="J16" s="68"/>
      <c r="K16" s="68"/>
      <c r="L16" s="68"/>
    </row>
    <row r="17" customFormat="false" ht="15" hidden="false" customHeight="true" outlineLevel="1" collapsed="false">
      <c r="A17" s="68"/>
      <c r="B17" s="74" t="s">
        <v>181</v>
      </c>
      <c r="C17" s="89" t="n">
        <v>0.027</v>
      </c>
      <c r="D17" s="89" t="n">
        <v>0.026</v>
      </c>
      <c r="E17" s="89" t="n">
        <v>0.0255</v>
      </c>
      <c r="F17" s="89" t="n">
        <v>0.025</v>
      </c>
      <c r="G17" s="89" t="n">
        <v>0.0245</v>
      </c>
      <c r="H17" s="91" t="s">
        <v>180</v>
      </c>
      <c r="I17" s="68"/>
      <c r="J17" s="68"/>
      <c r="K17" s="68"/>
      <c r="L17" s="68"/>
    </row>
    <row r="18" customFormat="false" ht="15" hidden="false" customHeight="true" outlineLevel="1" collapsed="false">
      <c r="A18" s="68"/>
      <c r="B18" s="74" t="s">
        <v>182</v>
      </c>
      <c r="C18" s="92"/>
      <c r="D18" s="84" t="n">
        <f aca="false">D14-C14</f>
        <v>-0.015</v>
      </c>
      <c r="E18" s="84" t="n">
        <f aca="false">E14-D14</f>
        <v>-0.0025</v>
      </c>
      <c r="F18" s="84" t="n">
        <f aca="false">F14-E14</f>
        <v>-0.0025</v>
      </c>
      <c r="G18" s="84" t="n">
        <f aca="false">G14-F14</f>
        <v>0</v>
      </c>
      <c r="H18" s="93"/>
      <c r="I18" s="68"/>
      <c r="J18" s="68"/>
      <c r="K18" s="68"/>
      <c r="L18" s="68"/>
    </row>
    <row r="19" customFormat="false" ht="15" hidden="false" customHeight="true" outlineLevel="1" collapsed="false">
      <c r="A19" s="68"/>
      <c r="B19" s="74" t="s">
        <v>183</v>
      </c>
      <c r="C19" s="92"/>
      <c r="D19" s="84" t="n">
        <f aca="false">D15-C15</f>
        <v>-0.013</v>
      </c>
      <c r="E19" s="84" t="n">
        <f aca="false">E15-D15</f>
        <v>-0.0025</v>
      </c>
      <c r="F19" s="84" t="n">
        <f aca="false">F15-E15</f>
        <v>-0.0025</v>
      </c>
      <c r="G19" s="84" t="n">
        <f aca="false">G15-F15</f>
        <v>0</v>
      </c>
      <c r="H19" s="93"/>
      <c r="I19" s="68"/>
      <c r="J19" s="68"/>
      <c r="K19" s="68"/>
      <c r="L19" s="68"/>
    </row>
    <row r="20" customFormat="false" ht="15" hidden="false" customHeight="true" outlineLevel="1" collapsed="false">
      <c r="A20" s="68"/>
      <c r="B20" s="88"/>
      <c r="C20" s="88"/>
      <c r="D20" s="88"/>
      <c r="E20" s="88"/>
      <c r="F20" s="88"/>
      <c r="G20" s="88"/>
      <c r="H20" s="90"/>
      <c r="I20" s="68"/>
      <c r="J20" s="68"/>
      <c r="K20" s="68"/>
      <c r="L20" s="68"/>
    </row>
    <row r="21" customFormat="false" ht="21" hidden="false" customHeight="true" outlineLevel="0" collapsed="false">
      <c r="A21" s="64"/>
      <c r="B21" s="79" t="s">
        <v>184</v>
      </c>
      <c r="C21" s="79"/>
      <c r="D21" s="79"/>
      <c r="E21" s="79"/>
      <c r="F21" s="79"/>
      <c r="G21" s="79"/>
      <c r="H21" s="79"/>
      <c r="I21" s="79"/>
      <c r="J21" s="78"/>
      <c r="K21" s="68"/>
      <c r="L21" s="68"/>
    </row>
    <row r="22" customFormat="false" ht="18" hidden="false" customHeight="true" outlineLevel="1" collapsed="false">
      <c r="A22" s="68"/>
      <c r="B22" s="69" t="s">
        <v>185</v>
      </c>
      <c r="C22" s="70" t="s">
        <v>109</v>
      </c>
      <c r="D22" s="70" t="s">
        <v>51</v>
      </c>
      <c r="E22" s="70" t="s">
        <v>52</v>
      </c>
      <c r="F22" s="70" t="s">
        <v>53</v>
      </c>
      <c r="G22" s="70" t="s">
        <v>54</v>
      </c>
      <c r="H22" s="70" t="s">
        <v>174</v>
      </c>
      <c r="I22" s="68"/>
      <c r="J22" s="68"/>
      <c r="K22" s="68"/>
      <c r="L22" s="68"/>
    </row>
    <row r="23" customFormat="false" ht="15" hidden="false" customHeight="true" outlineLevel="1" collapsed="false">
      <c r="A23" s="68"/>
      <c r="B23" s="74" t="s">
        <v>186</v>
      </c>
      <c r="C23" s="89" t="n">
        <v>0.012</v>
      </c>
      <c r="D23" s="89" t="n">
        <v>0.012</v>
      </c>
      <c r="E23" s="89" t="n">
        <v>0.012</v>
      </c>
      <c r="F23" s="89" t="n">
        <v>0.012</v>
      </c>
      <c r="G23" s="89" t="n">
        <v>0.012</v>
      </c>
      <c r="H23" s="91" t="s">
        <v>187</v>
      </c>
      <c r="I23" s="68"/>
      <c r="J23" s="68"/>
      <c r="K23" s="68"/>
      <c r="L23" s="68"/>
    </row>
    <row r="24" customFormat="false" ht="15" hidden="false" customHeight="true" outlineLevel="1" collapsed="false">
      <c r="A24" s="68"/>
      <c r="B24" s="74" t="s">
        <v>188</v>
      </c>
      <c r="C24" s="89" t="n">
        <v>0.9</v>
      </c>
      <c r="D24" s="89" t="n">
        <v>0.9</v>
      </c>
      <c r="E24" s="89" t="n">
        <v>0.9</v>
      </c>
      <c r="F24" s="89" t="n">
        <v>0.9</v>
      </c>
      <c r="G24" s="89" t="n">
        <v>0.9</v>
      </c>
      <c r="H24" s="91" t="s">
        <v>189</v>
      </c>
      <c r="I24" s="68"/>
      <c r="J24" s="68"/>
      <c r="K24" s="68"/>
      <c r="L24" s="68"/>
    </row>
    <row r="25" customFormat="false" ht="15" hidden="false" customHeight="true" outlineLevel="1" collapsed="false">
      <c r="A25" s="68"/>
      <c r="B25" s="74" t="s">
        <v>190</v>
      </c>
      <c r="C25" s="89" t="n">
        <v>-0.02</v>
      </c>
      <c r="D25" s="89" t="n">
        <v>-0.02</v>
      </c>
      <c r="E25" s="89" t="n">
        <v>-0.02</v>
      </c>
      <c r="F25" s="89" t="n">
        <v>-0.02</v>
      </c>
      <c r="G25" s="89" t="n">
        <v>-0.02</v>
      </c>
      <c r="H25" s="91" t="s">
        <v>191</v>
      </c>
      <c r="I25" s="68"/>
      <c r="J25" s="68"/>
      <c r="K25" s="68"/>
      <c r="L25" s="68"/>
    </row>
    <row r="26" customFormat="false" ht="15" hidden="false" customHeight="true" outlineLevel="1" collapsed="false">
      <c r="A26" s="68"/>
      <c r="B26" s="74" t="s">
        <v>192</v>
      </c>
      <c r="C26" s="89" t="n">
        <v>0.003</v>
      </c>
      <c r="D26" s="89" t="n">
        <v>0.004</v>
      </c>
      <c r="E26" s="89" t="n">
        <v>0.004</v>
      </c>
      <c r="F26" s="89" t="n">
        <v>0.004</v>
      </c>
      <c r="G26" s="89" t="n">
        <v>0.004</v>
      </c>
      <c r="H26" s="91" t="s">
        <v>193</v>
      </c>
      <c r="I26" s="68"/>
      <c r="J26" s="68"/>
      <c r="K26" s="68"/>
      <c r="L26" s="68"/>
    </row>
    <row r="27" customFormat="false" ht="15" hidden="false" customHeight="true" outlineLevel="1" collapsed="false">
      <c r="A27" s="68"/>
      <c r="B27" s="74" t="s">
        <v>194</v>
      </c>
      <c r="C27" s="89" t="n">
        <v>0.004</v>
      </c>
      <c r="D27" s="89" t="n">
        <v>0.005</v>
      </c>
      <c r="E27" s="89" t="n">
        <v>0.005</v>
      </c>
      <c r="F27" s="89" t="n">
        <v>0.005</v>
      </c>
      <c r="G27" s="89" t="n">
        <v>0.005</v>
      </c>
      <c r="H27" s="91" t="s">
        <v>195</v>
      </c>
      <c r="I27" s="68"/>
      <c r="J27" s="68"/>
      <c r="K27" s="68"/>
      <c r="L27" s="68"/>
    </row>
    <row r="28" customFormat="false" ht="15" hidden="false" customHeight="true" outlineLevel="1" collapsed="false">
      <c r="A28" s="68"/>
      <c r="B28" s="74" t="s">
        <v>196</v>
      </c>
      <c r="C28" s="89" t="n">
        <v>-0.00085</v>
      </c>
      <c r="D28" s="89" t="n">
        <v>-0.00085</v>
      </c>
      <c r="E28" s="89" t="n">
        <v>-0.00085</v>
      </c>
      <c r="F28" s="89" t="n">
        <v>-0.00085</v>
      </c>
      <c r="G28" s="89" t="n">
        <v>-0.00085</v>
      </c>
      <c r="H28" s="91" t="s">
        <v>197</v>
      </c>
      <c r="I28" s="68"/>
      <c r="J28" s="68"/>
      <c r="K28" s="68"/>
      <c r="L28" s="68"/>
    </row>
    <row r="29" customFormat="false" ht="15" hidden="false" customHeight="true" outlineLevel="1" collapsed="false">
      <c r="A29" s="68"/>
      <c r="B29" s="74" t="s">
        <v>198</v>
      </c>
      <c r="C29" s="89" t="n">
        <v>0.0065</v>
      </c>
      <c r="D29" s="89" t="n">
        <v>0.0065</v>
      </c>
      <c r="E29" s="89" t="n">
        <v>0.0065</v>
      </c>
      <c r="F29" s="89" t="n">
        <v>0.0065</v>
      </c>
      <c r="G29" s="89" t="n">
        <v>0.0065</v>
      </c>
      <c r="H29" s="91" t="s">
        <v>199</v>
      </c>
      <c r="I29" s="68"/>
      <c r="J29" s="68"/>
      <c r="K29" s="68"/>
      <c r="L29" s="68"/>
    </row>
    <row r="30" customFormat="false" ht="15" hidden="false" customHeight="true" outlineLevel="1" collapsed="false">
      <c r="A30" s="68"/>
      <c r="B30" s="74" t="s">
        <v>200</v>
      </c>
      <c r="C30" s="89" t="n">
        <v>0.025</v>
      </c>
      <c r="D30" s="89" t="n">
        <v>0.025</v>
      </c>
      <c r="E30" s="89" t="n">
        <v>0.025</v>
      </c>
      <c r="F30" s="89" t="n">
        <v>0.025</v>
      </c>
      <c r="G30" s="89" t="n">
        <v>0.025</v>
      </c>
      <c r="H30" s="91" t="s">
        <v>201</v>
      </c>
      <c r="I30" s="68"/>
      <c r="J30" s="68"/>
      <c r="K30" s="68"/>
      <c r="L30" s="68"/>
    </row>
    <row r="31" customFormat="false" ht="15" hidden="false" customHeight="true" outlineLevel="1" collapsed="false">
      <c r="A31" s="68"/>
      <c r="B31" s="88"/>
      <c r="C31" s="88"/>
      <c r="D31" s="88"/>
      <c r="E31" s="88"/>
      <c r="F31" s="88"/>
      <c r="G31" s="88"/>
      <c r="H31" s="90"/>
      <c r="I31" s="68"/>
      <c r="J31" s="68"/>
      <c r="K31" s="68"/>
      <c r="L31" s="68"/>
    </row>
    <row r="32" customFormat="false" ht="21" hidden="false" customHeight="true" outlineLevel="0" collapsed="false">
      <c r="A32" s="64"/>
      <c r="B32" s="79" t="s">
        <v>202</v>
      </c>
      <c r="C32" s="79"/>
      <c r="D32" s="79"/>
      <c r="E32" s="79"/>
      <c r="F32" s="79"/>
      <c r="G32" s="79"/>
      <c r="H32" s="79"/>
      <c r="I32" s="79"/>
      <c r="J32" s="78"/>
      <c r="K32" s="68"/>
      <c r="L32" s="68"/>
    </row>
    <row r="33" customFormat="false" ht="18" hidden="false" customHeight="true" outlineLevel="1" collapsed="false">
      <c r="A33" s="68"/>
      <c r="B33" s="69" t="s">
        <v>173</v>
      </c>
      <c r="C33" s="70" t="s">
        <v>203</v>
      </c>
      <c r="D33" s="70"/>
      <c r="E33" s="70"/>
      <c r="F33" s="70"/>
      <c r="G33" s="70"/>
      <c r="H33" s="70" t="s">
        <v>204</v>
      </c>
      <c r="I33" s="68"/>
      <c r="J33" s="68"/>
      <c r="K33" s="68"/>
      <c r="L33" s="68"/>
    </row>
    <row r="34" customFormat="false" ht="15" hidden="false" customHeight="true" outlineLevel="1" collapsed="false">
      <c r="A34" s="68"/>
      <c r="B34" s="74" t="s">
        <v>205</v>
      </c>
      <c r="C34" s="73" t="n">
        <v>2.5</v>
      </c>
      <c r="D34" s="67"/>
      <c r="E34" s="67"/>
      <c r="F34" s="67"/>
      <c r="G34" s="67"/>
      <c r="H34" s="91" t="s">
        <v>206</v>
      </c>
      <c r="I34" s="68"/>
      <c r="J34" s="68"/>
      <c r="K34" s="68"/>
      <c r="L34" s="68"/>
    </row>
    <row r="35" customFormat="false" ht="15" hidden="false" customHeight="true" outlineLevel="1" collapsed="false">
      <c r="A35" s="68"/>
      <c r="B35" s="74" t="s">
        <v>207</v>
      </c>
      <c r="C35" s="89" t="n">
        <v>1</v>
      </c>
      <c r="D35" s="67"/>
      <c r="E35" s="67"/>
      <c r="F35" s="67"/>
      <c r="G35" s="67"/>
      <c r="H35" s="91" t="s">
        <v>208</v>
      </c>
      <c r="I35" s="68"/>
      <c r="J35" s="68"/>
      <c r="K35" s="68"/>
      <c r="L35" s="68"/>
    </row>
    <row r="36" customFormat="false" ht="15" hidden="false" customHeight="true" outlineLevel="1" collapsed="false">
      <c r="A36" s="68"/>
      <c r="B36" s="74" t="s">
        <v>209</v>
      </c>
      <c r="C36" s="89" t="n">
        <v>0.7</v>
      </c>
      <c r="D36" s="67"/>
      <c r="E36" s="67"/>
      <c r="F36" s="67"/>
      <c r="G36" s="67"/>
      <c r="H36" s="91" t="s">
        <v>210</v>
      </c>
      <c r="I36" s="68"/>
      <c r="J36" s="68"/>
      <c r="K36" s="68"/>
      <c r="L36" s="68"/>
    </row>
    <row r="37" customFormat="false" ht="15" hidden="false" customHeight="true" outlineLevel="1" collapsed="false">
      <c r="A37" s="68"/>
      <c r="B37" s="74" t="s">
        <v>211</v>
      </c>
      <c r="C37" s="89" t="n">
        <v>0.3</v>
      </c>
      <c r="D37" s="67"/>
      <c r="E37" s="67"/>
      <c r="F37" s="67"/>
      <c r="G37" s="67"/>
      <c r="H37" s="91" t="s">
        <v>212</v>
      </c>
      <c r="I37" s="68"/>
      <c r="J37" s="68"/>
      <c r="K37" s="68"/>
      <c r="L37" s="68"/>
    </row>
    <row r="38" customFormat="false" ht="15" hidden="false" customHeight="true" outlineLevel="1" collapsed="false">
      <c r="A38" s="68"/>
      <c r="B38" s="74" t="s">
        <v>213</v>
      </c>
      <c r="C38" s="89" t="n">
        <v>0.72</v>
      </c>
      <c r="D38" s="67"/>
      <c r="E38" s="67"/>
      <c r="F38" s="67"/>
      <c r="G38" s="67"/>
      <c r="H38" s="91" t="s">
        <v>214</v>
      </c>
      <c r="I38" s="68"/>
      <c r="J38" s="68"/>
      <c r="K38" s="68"/>
      <c r="L38" s="68"/>
    </row>
    <row r="39" customFormat="false" ht="15" hidden="false" customHeight="true" outlineLevel="1" collapsed="false">
      <c r="A39" s="68"/>
      <c r="B39" s="74" t="s">
        <v>215</v>
      </c>
      <c r="C39" s="89" t="n">
        <v>0.28</v>
      </c>
      <c r="D39" s="67"/>
      <c r="E39" s="67"/>
      <c r="F39" s="67"/>
      <c r="G39" s="67"/>
      <c r="H39" s="91" t="s">
        <v>216</v>
      </c>
      <c r="I39" s="68"/>
      <c r="J39" s="68"/>
      <c r="K39" s="68"/>
      <c r="L39" s="68"/>
    </row>
    <row r="40" customFormat="false" ht="15" hidden="false" customHeight="true" outlineLevel="1" collapsed="false">
      <c r="A40" s="68"/>
      <c r="B40" s="77" t="s">
        <v>217</v>
      </c>
      <c r="C40" s="89" t="n">
        <v>0.008</v>
      </c>
      <c r="D40" s="67"/>
      <c r="E40" s="67"/>
      <c r="F40" s="67"/>
      <c r="G40" s="67"/>
      <c r="H40" s="91" t="s">
        <v>218</v>
      </c>
      <c r="I40" s="68"/>
      <c r="J40" s="68"/>
      <c r="K40" s="68"/>
      <c r="L40" s="68"/>
    </row>
    <row r="41" customFormat="false" ht="15" hidden="false" customHeight="true" outlineLevel="1" collapsed="false">
      <c r="A41" s="68"/>
      <c r="B41" s="74" t="s">
        <v>219</v>
      </c>
      <c r="C41" s="89" t="n">
        <v>0.6</v>
      </c>
      <c r="D41" s="67"/>
      <c r="E41" s="67"/>
      <c r="F41" s="67"/>
      <c r="G41" s="67"/>
      <c r="H41" s="91" t="s">
        <v>220</v>
      </c>
      <c r="I41" s="68"/>
      <c r="J41" s="68"/>
      <c r="K41" s="68"/>
      <c r="L41" s="68"/>
    </row>
    <row r="42" customFormat="false" ht="15" hidden="false" customHeight="true" outlineLevel="1" collapsed="false">
      <c r="A42" s="68"/>
      <c r="B42" s="88"/>
      <c r="C42" s="88"/>
      <c r="D42" s="88"/>
      <c r="E42" s="88"/>
      <c r="F42" s="88"/>
      <c r="G42" s="88"/>
      <c r="H42" s="90"/>
      <c r="I42" s="68"/>
      <c r="J42" s="68"/>
      <c r="K42" s="68"/>
      <c r="L42" s="68"/>
    </row>
    <row r="43" customFormat="false" ht="21" hidden="false" customHeight="true" outlineLevel="0" collapsed="false">
      <c r="A43" s="64"/>
      <c r="B43" s="79" t="s">
        <v>221</v>
      </c>
      <c r="C43" s="79"/>
      <c r="D43" s="79"/>
      <c r="E43" s="79"/>
      <c r="F43" s="79"/>
      <c r="G43" s="79"/>
      <c r="H43" s="79"/>
      <c r="I43" s="79"/>
      <c r="J43" s="78"/>
      <c r="K43" s="68"/>
      <c r="L43" s="68"/>
    </row>
    <row r="44" customFormat="false" ht="18" hidden="false" customHeight="true" outlineLevel="1" collapsed="false">
      <c r="A44" s="68"/>
      <c r="B44" s="69" t="s">
        <v>222</v>
      </c>
      <c r="C44" s="70" t="s">
        <v>223</v>
      </c>
      <c r="D44" s="70" t="s">
        <v>224</v>
      </c>
      <c r="E44" s="70"/>
      <c r="F44" s="70"/>
      <c r="G44" s="70"/>
      <c r="H44" s="70" t="s">
        <v>225</v>
      </c>
      <c r="I44" s="68"/>
      <c r="J44" s="68"/>
      <c r="K44" s="68"/>
      <c r="L44" s="68"/>
    </row>
    <row r="45" customFormat="false" ht="21.75" hidden="false" customHeight="true" outlineLevel="1" collapsed="false">
      <c r="A45" s="68"/>
      <c r="B45" s="74" t="s">
        <v>226</v>
      </c>
      <c r="C45" s="73" t="n">
        <v>200</v>
      </c>
      <c r="D45" s="94" t="s">
        <v>227</v>
      </c>
      <c r="E45" s="67"/>
      <c r="F45" s="67"/>
      <c r="G45" s="67"/>
      <c r="H45" s="91" t="s">
        <v>228</v>
      </c>
      <c r="I45" s="68"/>
      <c r="J45" s="68"/>
      <c r="K45" s="68"/>
      <c r="L45" s="68"/>
    </row>
    <row r="46" customFormat="false" ht="15" hidden="false" customHeight="true" outlineLevel="1" collapsed="false">
      <c r="A46" s="68"/>
      <c r="B46" s="74" t="s">
        <v>229</v>
      </c>
      <c r="C46" s="73" t="n">
        <v>-200</v>
      </c>
      <c r="D46" s="94" t="s">
        <v>227</v>
      </c>
      <c r="E46" s="67"/>
      <c r="F46" s="67"/>
      <c r="G46" s="67"/>
      <c r="H46" s="91" t="s">
        <v>230</v>
      </c>
      <c r="I46" s="68"/>
      <c r="J46" s="68"/>
      <c r="K46" s="68"/>
      <c r="L46" s="68"/>
    </row>
    <row r="47" customFormat="false" ht="15" hidden="false" customHeight="true" outlineLevel="1" collapsed="false">
      <c r="A47" s="68"/>
      <c r="B47" s="74" t="s">
        <v>231</v>
      </c>
      <c r="C47" s="73" t="n">
        <v>90</v>
      </c>
      <c r="D47" s="94" t="s">
        <v>232</v>
      </c>
      <c r="E47" s="67"/>
      <c r="F47" s="67"/>
      <c r="G47" s="67"/>
      <c r="H47" s="91" t="s">
        <v>233</v>
      </c>
      <c r="I47" s="68"/>
      <c r="J47" s="68"/>
      <c r="K47" s="68"/>
      <c r="L47" s="68"/>
    </row>
    <row r="48" customFormat="false" ht="15" hidden="false" customHeight="true" outlineLevel="1" collapsed="false">
      <c r="A48" s="68"/>
      <c r="B48" s="74" t="s">
        <v>234</v>
      </c>
      <c r="C48" s="73" t="n">
        <v>-90</v>
      </c>
      <c r="D48" s="94" t="s">
        <v>232</v>
      </c>
      <c r="E48" s="67"/>
      <c r="F48" s="67"/>
      <c r="G48" s="67"/>
      <c r="H48" s="91" t="s">
        <v>235</v>
      </c>
      <c r="I48" s="68"/>
      <c r="J48" s="68"/>
      <c r="K48" s="68"/>
      <c r="L48" s="68"/>
    </row>
    <row r="49" customFormat="false" ht="15" hidden="false" customHeight="true" outlineLevel="1" collapsed="false">
      <c r="A49" s="68"/>
      <c r="B49" s="74" t="s">
        <v>236</v>
      </c>
      <c r="C49" s="73" t="n">
        <v>250</v>
      </c>
      <c r="D49" s="94" t="s">
        <v>237</v>
      </c>
      <c r="E49" s="67"/>
      <c r="F49" s="67"/>
      <c r="G49" s="67"/>
      <c r="H49" s="91" t="s">
        <v>238</v>
      </c>
      <c r="I49" s="68"/>
      <c r="J49" s="68"/>
      <c r="K49" s="68"/>
      <c r="L49" s="68"/>
    </row>
    <row r="50" customFormat="false" ht="15" hidden="false" customHeight="true" outlineLevel="1" collapsed="false">
      <c r="A50" s="68"/>
      <c r="B50" s="74" t="s">
        <v>239</v>
      </c>
      <c r="C50" s="73" t="n">
        <v>-250</v>
      </c>
      <c r="D50" s="94" t="s">
        <v>237</v>
      </c>
      <c r="E50" s="67"/>
      <c r="F50" s="67"/>
      <c r="G50" s="67"/>
      <c r="H50" s="91" t="s">
        <v>240</v>
      </c>
      <c r="I50" s="68"/>
      <c r="J50" s="68"/>
      <c r="K50" s="68"/>
      <c r="L50" s="68"/>
    </row>
    <row r="51" customFormat="false" ht="21.75" hidden="false" customHeight="true" outlineLevel="1" collapsed="false">
      <c r="A51" s="68"/>
      <c r="B51" s="74" t="s">
        <v>241</v>
      </c>
      <c r="C51" s="89" t="n">
        <v>0.15</v>
      </c>
      <c r="D51" s="94" t="s">
        <v>242</v>
      </c>
      <c r="E51" s="67"/>
      <c r="F51" s="67"/>
      <c r="G51" s="67"/>
      <c r="H51" s="91" t="s">
        <v>243</v>
      </c>
      <c r="I51" s="68"/>
      <c r="J51" s="68"/>
      <c r="K51" s="68"/>
      <c r="L51" s="68"/>
    </row>
    <row r="52" customFormat="false" ht="15" hidden="false" customHeight="true" outlineLevel="1" collapsed="false">
      <c r="A52" s="68"/>
      <c r="B52" s="74" t="s">
        <v>244</v>
      </c>
      <c r="C52" s="89" t="n">
        <v>0.05</v>
      </c>
      <c r="D52" s="94" t="s">
        <v>242</v>
      </c>
      <c r="E52" s="67"/>
      <c r="F52" s="67"/>
      <c r="G52" s="67"/>
      <c r="H52" s="91" t="s">
        <v>245</v>
      </c>
      <c r="I52" s="68"/>
      <c r="J52" s="68"/>
      <c r="K52" s="68"/>
      <c r="L52" s="68"/>
    </row>
    <row r="53" customFormat="false" ht="15" hidden="false" customHeight="true" outlineLevel="1" collapsed="false">
      <c r="A53" s="68"/>
      <c r="B53" s="88"/>
      <c r="C53" s="88"/>
      <c r="D53" s="88"/>
      <c r="E53" s="88"/>
      <c r="F53" s="88"/>
      <c r="G53" s="88"/>
      <c r="H53" s="90"/>
      <c r="I53" s="68"/>
      <c r="J53" s="68"/>
      <c r="K53" s="68"/>
      <c r="L53" s="68"/>
    </row>
    <row r="54" customFormat="false" ht="21" hidden="false" customHeight="true" outlineLevel="0" collapsed="false">
      <c r="A54" s="64"/>
      <c r="B54" s="79" t="s">
        <v>246</v>
      </c>
      <c r="C54" s="79"/>
      <c r="D54" s="79"/>
      <c r="E54" s="79"/>
      <c r="F54" s="79"/>
      <c r="G54" s="79"/>
      <c r="H54" s="79"/>
      <c r="I54" s="79"/>
      <c r="J54" s="78"/>
      <c r="K54" s="68"/>
      <c r="L54" s="68"/>
    </row>
    <row r="55" customFormat="false" ht="18" hidden="false" customHeight="true" outlineLevel="1" collapsed="false">
      <c r="A55" s="68"/>
      <c r="B55" s="69" t="s">
        <v>173</v>
      </c>
      <c r="C55" s="70" t="s">
        <v>203</v>
      </c>
      <c r="D55" s="70"/>
      <c r="E55" s="70"/>
      <c r="F55" s="70"/>
      <c r="G55" s="70"/>
      <c r="H55" s="70" t="s">
        <v>247</v>
      </c>
      <c r="I55" s="68"/>
      <c r="J55" s="68"/>
      <c r="K55" s="68"/>
      <c r="L55" s="68"/>
    </row>
    <row r="56" customFormat="false" ht="15" hidden="false" customHeight="true" outlineLevel="1" collapsed="false">
      <c r="A56" s="68"/>
      <c r="B56" s="74" t="s">
        <v>248</v>
      </c>
      <c r="C56" s="73" t="n">
        <v>0</v>
      </c>
      <c r="D56" s="67"/>
      <c r="E56" s="67"/>
      <c r="F56" s="67"/>
      <c r="G56" s="67"/>
      <c r="H56" s="91" t="s">
        <v>249</v>
      </c>
      <c r="I56" s="68"/>
      <c r="J56" s="68"/>
      <c r="K56" s="68"/>
      <c r="L56" s="68"/>
    </row>
    <row r="57" customFormat="false" ht="15" hidden="false" customHeight="true" outlineLevel="1" collapsed="false">
      <c r="A57" s="68"/>
      <c r="B57" s="74" t="s">
        <v>250</v>
      </c>
      <c r="C57" s="73" t="n">
        <v>0</v>
      </c>
      <c r="D57" s="67"/>
      <c r="E57" s="67"/>
      <c r="F57" s="67"/>
      <c r="G57" s="67"/>
      <c r="H57" s="91" t="s">
        <v>251</v>
      </c>
      <c r="I57" s="68"/>
      <c r="J57" s="68"/>
      <c r="K57" s="68"/>
      <c r="L57" s="68"/>
    </row>
    <row r="58" customFormat="false" ht="15" hidden="false" customHeight="true" outlineLevel="1" collapsed="false">
      <c r="A58" s="68"/>
      <c r="B58" s="74" t="s">
        <v>252</v>
      </c>
      <c r="C58" s="89" t="n">
        <v>0.15</v>
      </c>
      <c r="D58" s="67"/>
      <c r="E58" s="67"/>
      <c r="F58" s="67"/>
      <c r="G58" s="67"/>
      <c r="H58" s="91" t="s">
        <v>253</v>
      </c>
      <c r="I58" s="68"/>
      <c r="J58" s="68"/>
      <c r="K58" s="68"/>
      <c r="L58" s="68"/>
    </row>
    <row r="59" customFormat="false" ht="15" hidden="false" customHeight="true" outlineLevel="1" collapsed="false">
      <c r="A59" s="68"/>
      <c r="B59" s="74" t="s">
        <v>254</v>
      </c>
      <c r="C59" s="89" t="n">
        <v>0.4</v>
      </c>
      <c r="D59" s="67"/>
      <c r="E59" s="67"/>
      <c r="F59" s="67"/>
      <c r="G59" s="67"/>
      <c r="H59" s="91" t="s">
        <v>255</v>
      </c>
      <c r="I59" s="68"/>
      <c r="J59" s="68"/>
      <c r="K59" s="68"/>
      <c r="L59" s="68"/>
    </row>
    <row r="60" customFormat="false" ht="15" hidden="false" customHeight="true" outlineLevel="1" collapsed="false">
      <c r="A60" s="68"/>
      <c r="B60" s="74" t="s">
        <v>256</v>
      </c>
      <c r="C60" s="89" t="n">
        <v>0.15</v>
      </c>
      <c r="D60" s="67"/>
      <c r="E60" s="67"/>
      <c r="F60" s="67"/>
      <c r="G60" s="67"/>
      <c r="H60" s="91" t="s">
        <v>257</v>
      </c>
      <c r="I60" s="68"/>
      <c r="J60" s="68"/>
      <c r="K60" s="68"/>
      <c r="L60" s="68"/>
    </row>
    <row r="61" customFormat="false" ht="15" hidden="false" customHeight="true" outlineLevel="1" collapsed="false">
      <c r="A61" s="68"/>
      <c r="B61" s="74" t="s">
        <v>258</v>
      </c>
      <c r="C61" s="89" t="n">
        <v>0.05</v>
      </c>
      <c r="D61" s="67"/>
      <c r="E61" s="67"/>
      <c r="F61" s="67"/>
      <c r="G61" s="67"/>
      <c r="H61" s="91" t="s">
        <v>259</v>
      </c>
      <c r="I61" s="68"/>
      <c r="J61" s="68"/>
      <c r="K61" s="68"/>
      <c r="L61" s="68"/>
    </row>
    <row r="62" customFormat="false" ht="15" hidden="false" customHeight="true" outlineLevel="1" collapsed="false">
      <c r="A62" s="68"/>
      <c r="B62" s="74" t="s">
        <v>260</v>
      </c>
      <c r="C62" s="89" t="n">
        <v>0.1</v>
      </c>
      <c r="D62" s="67"/>
      <c r="E62" s="67"/>
      <c r="F62" s="67"/>
      <c r="G62" s="67"/>
      <c r="H62" s="91" t="s">
        <v>261</v>
      </c>
      <c r="I62" s="68"/>
      <c r="J62" s="68"/>
      <c r="K62" s="68"/>
      <c r="L62" s="68"/>
    </row>
    <row r="63" customFormat="false" ht="15" hidden="false" customHeight="true" outlineLevel="1" collapsed="false">
      <c r="A63" s="68"/>
      <c r="B63" s="74" t="s">
        <v>262</v>
      </c>
      <c r="C63" s="89" t="n">
        <v>0.25</v>
      </c>
      <c r="D63" s="67"/>
      <c r="E63" s="67"/>
      <c r="F63" s="67"/>
      <c r="G63" s="67"/>
      <c r="H63" s="91" t="s">
        <v>263</v>
      </c>
      <c r="I63" s="68"/>
      <c r="J63" s="68"/>
      <c r="K63" s="68"/>
      <c r="L63" s="68"/>
    </row>
    <row r="64" customFormat="false" ht="15" hidden="false" customHeight="true" outlineLevel="1" collapsed="false">
      <c r="A64" s="68"/>
      <c r="B64" s="74" t="s">
        <v>264</v>
      </c>
      <c r="C64" s="89" t="n">
        <v>1</v>
      </c>
      <c r="D64" s="67"/>
      <c r="E64" s="67"/>
      <c r="F64" s="67"/>
      <c r="G64" s="67"/>
      <c r="H64" s="91" t="s">
        <v>265</v>
      </c>
      <c r="I64" s="68"/>
      <c r="J64" s="68"/>
      <c r="K64" s="68"/>
      <c r="L64" s="68"/>
    </row>
    <row r="65" customFormat="false" ht="15" hidden="false" customHeight="true" outlineLevel="1" collapsed="false">
      <c r="A65" s="68"/>
      <c r="B65" s="74" t="s">
        <v>266</v>
      </c>
      <c r="C65" s="73" t="n">
        <v>0</v>
      </c>
      <c r="D65" s="67"/>
      <c r="E65" s="67"/>
      <c r="F65" s="67"/>
      <c r="G65" s="67"/>
      <c r="H65" s="91" t="s">
        <v>267</v>
      </c>
      <c r="I65" s="68"/>
      <c r="J65" s="68"/>
      <c r="K65" s="68"/>
      <c r="L65" s="68"/>
    </row>
    <row r="66" customFormat="false" ht="15" hidden="false" customHeight="true" outlineLevel="1" collapsed="false">
      <c r="A66" s="68"/>
      <c r="B66" s="74" t="s">
        <v>268</v>
      </c>
      <c r="C66" s="89" t="n">
        <v>0.15</v>
      </c>
      <c r="D66" s="67"/>
      <c r="E66" s="67"/>
      <c r="F66" s="67"/>
      <c r="G66" s="67"/>
      <c r="H66" s="91" t="s">
        <v>269</v>
      </c>
      <c r="I66" s="68"/>
      <c r="J66" s="68"/>
      <c r="K66" s="68"/>
      <c r="L66" s="68"/>
    </row>
    <row r="67" customFormat="false" ht="15" hidden="false" customHeight="true" outlineLevel="1" collapsed="false">
      <c r="A67" s="68"/>
      <c r="B67" s="74" t="s">
        <v>270</v>
      </c>
      <c r="C67" s="89" t="n">
        <v>0.1</v>
      </c>
      <c r="D67" s="67"/>
      <c r="E67" s="67"/>
      <c r="F67" s="67"/>
      <c r="G67" s="67"/>
      <c r="H67" s="91" t="s">
        <v>271</v>
      </c>
      <c r="I67" s="68"/>
      <c r="J67" s="68"/>
      <c r="K67" s="68"/>
      <c r="L67" s="68"/>
    </row>
    <row r="68" customFormat="false" ht="15" hidden="false" customHeight="true" outlineLevel="1" collapsed="false">
      <c r="A68" s="68"/>
      <c r="B68" s="74" t="s">
        <v>272</v>
      </c>
      <c r="C68" s="89" t="n">
        <v>0.25</v>
      </c>
      <c r="D68" s="67"/>
      <c r="E68" s="67"/>
      <c r="F68" s="67"/>
      <c r="G68" s="67"/>
      <c r="H68" s="91" t="s">
        <v>273</v>
      </c>
      <c r="I68" s="68"/>
      <c r="J68" s="68"/>
      <c r="K68" s="68"/>
      <c r="L68" s="68"/>
    </row>
    <row r="69" customFormat="false" ht="15" hidden="false" customHeight="true" outlineLevel="1" collapsed="false">
      <c r="A69" s="68"/>
      <c r="B69" s="74" t="s">
        <v>274</v>
      </c>
      <c r="C69" s="89" t="n">
        <v>0.5</v>
      </c>
      <c r="D69" s="67"/>
      <c r="E69" s="67"/>
      <c r="F69" s="67"/>
      <c r="G69" s="67"/>
      <c r="H69" s="91" t="s">
        <v>275</v>
      </c>
      <c r="I69" s="68"/>
      <c r="J69" s="68"/>
      <c r="K69" s="68"/>
      <c r="L69" s="68"/>
    </row>
    <row r="70" customFormat="false" ht="15" hidden="false" customHeight="true" outlineLevel="1" collapsed="false">
      <c r="A70" s="68"/>
      <c r="B70" s="74" t="s">
        <v>276</v>
      </c>
      <c r="C70" s="89" t="n">
        <v>1</v>
      </c>
      <c r="D70" s="67"/>
      <c r="E70" s="67"/>
      <c r="F70" s="67"/>
      <c r="G70" s="67"/>
      <c r="H70" s="91" t="s">
        <v>277</v>
      </c>
      <c r="I70" s="68"/>
      <c r="J70" s="68"/>
      <c r="K70" s="68"/>
      <c r="L70" s="68"/>
    </row>
    <row r="71" customFormat="false" ht="15" hidden="false" customHeight="true" outlineLevel="1" collapsed="false">
      <c r="A71" s="68"/>
      <c r="B71" s="74" t="s">
        <v>278</v>
      </c>
      <c r="C71" s="89" t="n">
        <v>0.75</v>
      </c>
      <c r="D71" s="67"/>
      <c r="E71" s="67"/>
      <c r="F71" s="67"/>
      <c r="G71" s="67"/>
      <c r="H71" s="91" t="s">
        <v>279</v>
      </c>
      <c r="I71" s="68"/>
      <c r="J71" s="68"/>
      <c r="K71" s="68"/>
      <c r="L71" s="68"/>
    </row>
    <row r="72" customFormat="false" ht="15" hidden="false" customHeight="true" outlineLevel="1" collapsed="false">
      <c r="A72" s="68"/>
      <c r="B72" s="88"/>
      <c r="C72" s="88"/>
      <c r="D72" s="88"/>
      <c r="E72" s="88"/>
      <c r="F72" s="88"/>
      <c r="G72" s="88"/>
      <c r="H72" s="90"/>
      <c r="I72" s="68"/>
      <c r="J72" s="68"/>
      <c r="K72" s="68"/>
      <c r="L72" s="68"/>
    </row>
    <row r="73" customFormat="false" ht="21" hidden="false" customHeight="true" outlineLevel="0" collapsed="false">
      <c r="A73" s="64"/>
      <c r="B73" s="79" t="s">
        <v>280</v>
      </c>
      <c r="C73" s="79"/>
      <c r="D73" s="79"/>
      <c r="E73" s="79"/>
      <c r="F73" s="79"/>
      <c r="G73" s="79"/>
      <c r="H73" s="79"/>
      <c r="I73" s="79"/>
      <c r="J73" s="78"/>
      <c r="K73" s="68"/>
      <c r="L73" s="68"/>
    </row>
    <row r="74" customFormat="false" ht="18" hidden="false" customHeight="true" outlineLevel="1" collapsed="false">
      <c r="A74" s="68"/>
      <c r="B74" s="69" t="s">
        <v>173</v>
      </c>
      <c r="C74" s="70" t="s">
        <v>281</v>
      </c>
      <c r="D74" s="70"/>
      <c r="E74" s="70"/>
      <c r="F74" s="70"/>
      <c r="G74" s="70"/>
      <c r="H74" s="70" t="s">
        <v>282</v>
      </c>
      <c r="I74" s="68"/>
      <c r="J74" s="68"/>
      <c r="K74" s="68"/>
      <c r="L74" s="68"/>
    </row>
    <row r="75" customFormat="false" ht="15" hidden="false" customHeight="true" outlineLevel="1" collapsed="false">
      <c r="A75" s="68"/>
      <c r="B75" s="72" t="s">
        <v>283</v>
      </c>
      <c r="C75" s="89" t="n">
        <v>1</v>
      </c>
      <c r="D75" s="67"/>
      <c r="E75" s="67"/>
      <c r="F75" s="67"/>
      <c r="G75" s="67"/>
      <c r="H75" s="91" t="s">
        <v>284</v>
      </c>
      <c r="I75" s="68"/>
      <c r="J75" s="68"/>
      <c r="K75" s="68"/>
      <c r="L75" s="68"/>
    </row>
    <row r="76" customFormat="false" ht="15" hidden="false" customHeight="true" outlineLevel="1" collapsed="false">
      <c r="A76" s="68"/>
      <c r="B76" s="72" t="s">
        <v>285</v>
      </c>
      <c r="C76" s="89" t="n">
        <v>0.9</v>
      </c>
      <c r="D76" s="67"/>
      <c r="E76" s="67"/>
      <c r="F76" s="67"/>
      <c r="G76" s="67"/>
      <c r="H76" s="91" t="s">
        <v>286</v>
      </c>
      <c r="I76" s="68"/>
      <c r="J76" s="68"/>
      <c r="K76" s="68"/>
      <c r="L76" s="68"/>
    </row>
    <row r="77" customFormat="false" ht="15" hidden="false" customHeight="true" outlineLevel="1" collapsed="false">
      <c r="A77" s="68"/>
      <c r="B77" s="72" t="s">
        <v>287</v>
      </c>
      <c r="C77" s="89" t="n">
        <v>0.8</v>
      </c>
      <c r="D77" s="67"/>
      <c r="E77" s="67"/>
      <c r="F77" s="67"/>
      <c r="G77" s="67"/>
      <c r="H77" s="91" t="s">
        <v>288</v>
      </c>
      <c r="I77" s="68"/>
      <c r="J77" s="68"/>
      <c r="K77" s="68"/>
      <c r="L77" s="68"/>
    </row>
    <row r="78" customFormat="false" ht="15" hidden="false" customHeight="true" outlineLevel="1" collapsed="false">
      <c r="A78" s="68"/>
      <c r="B78" s="72" t="s">
        <v>289</v>
      </c>
      <c r="C78" s="89" t="n">
        <v>1</v>
      </c>
      <c r="D78" s="67"/>
      <c r="E78" s="67"/>
      <c r="F78" s="67"/>
      <c r="G78" s="67"/>
      <c r="H78" s="91" t="s">
        <v>290</v>
      </c>
      <c r="I78" s="68"/>
      <c r="J78" s="68"/>
      <c r="K78" s="68"/>
      <c r="L78" s="68"/>
    </row>
    <row r="79" customFormat="false" ht="15" hidden="false" customHeight="true" outlineLevel="1" collapsed="false">
      <c r="A79" s="68"/>
      <c r="B79" s="72" t="s">
        <v>291</v>
      </c>
      <c r="C79" s="89" t="n">
        <v>0.5</v>
      </c>
      <c r="D79" s="67"/>
      <c r="E79" s="67"/>
      <c r="F79" s="67"/>
      <c r="G79" s="67"/>
      <c r="H79" s="91" t="s">
        <v>292</v>
      </c>
      <c r="I79" s="68"/>
      <c r="J79" s="68"/>
      <c r="K79" s="68"/>
      <c r="L79" s="68"/>
    </row>
    <row r="80" customFormat="false" ht="15" hidden="false" customHeight="true" outlineLevel="1" collapsed="false">
      <c r="A80" s="68"/>
      <c r="B80" s="72" t="s">
        <v>293</v>
      </c>
      <c r="C80" s="73" t="n">
        <v>0</v>
      </c>
      <c r="D80" s="67"/>
      <c r="E80" s="67"/>
      <c r="F80" s="67"/>
      <c r="G80" s="67"/>
      <c r="H80" s="91" t="s">
        <v>294</v>
      </c>
      <c r="I80" s="68"/>
      <c r="J80" s="68"/>
      <c r="K80" s="68"/>
      <c r="L80" s="68"/>
    </row>
    <row r="81" customFormat="false" ht="15" hidden="false" customHeight="true" outlineLevel="1" collapsed="false">
      <c r="A81" s="68"/>
      <c r="B81" s="72" t="s">
        <v>295</v>
      </c>
      <c r="C81" s="89" t="n">
        <v>0.1</v>
      </c>
      <c r="D81" s="67"/>
      <c r="E81" s="67"/>
      <c r="F81" s="67"/>
      <c r="G81" s="67"/>
      <c r="H81" s="91" t="s">
        <v>296</v>
      </c>
      <c r="I81" s="68"/>
      <c r="J81" s="68"/>
      <c r="K81" s="68"/>
      <c r="L81" s="68"/>
    </row>
    <row r="82" customFormat="false" ht="15" hidden="false" customHeight="true" outlineLevel="1" collapsed="false">
      <c r="A82" s="68"/>
      <c r="B82" s="72" t="s">
        <v>297</v>
      </c>
      <c r="C82" s="89" t="n">
        <v>0.5</v>
      </c>
      <c r="D82" s="67"/>
      <c r="E82" s="67"/>
      <c r="F82" s="67"/>
      <c r="G82" s="67"/>
      <c r="H82" s="91" t="s">
        <v>298</v>
      </c>
      <c r="I82" s="68"/>
      <c r="J82" s="68"/>
      <c r="K82" s="68"/>
      <c r="L82" s="68"/>
    </row>
    <row r="83" customFormat="false" ht="15" hidden="false" customHeight="true" outlineLevel="1" collapsed="false">
      <c r="A83" s="68"/>
      <c r="B83" s="72" t="s">
        <v>299</v>
      </c>
      <c r="C83" s="73" t="n">
        <v>0</v>
      </c>
      <c r="D83" s="67"/>
      <c r="E83" s="67"/>
      <c r="F83" s="67"/>
      <c r="G83" s="67"/>
      <c r="H83" s="91" t="s">
        <v>294</v>
      </c>
      <c r="I83" s="68"/>
      <c r="J83" s="68"/>
      <c r="K83" s="68"/>
      <c r="L83" s="68"/>
    </row>
    <row r="84" customFormat="false" ht="15" hidden="false" customHeight="true" outlineLevel="1" collapsed="false">
      <c r="A84" s="68"/>
      <c r="B84" s="72" t="s">
        <v>300</v>
      </c>
      <c r="C84" s="89" t="n">
        <v>0.85</v>
      </c>
      <c r="D84" s="67"/>
      <c r="E84" s="67"/>
      <c r="F84" s="67"/>
      <c r="G84" s="67"/>
      <c r="H84" s="91" t="s">
        <v>301</v>
      </c>
      <c r="I84" s="68"/>
      <c r="J84" s="68"/>
      <c r="K84" s="68"/>
      <c r="L84" s="68"/>
    </row>
    <row r="85" customFormat="false" ht="15" hidden="false" customHeight="true" outlineLevel="1" collapsed="false">
      <c r="A85" s="68"/>
      <c r="B85" s="72" t="s">
        <v>302</v>
      </c>
      <c r="C85" s="89" t="n">
        <v>0.5</v>
      </c>
      <c r="D85" s="67"/>
      <c r="E85" s="67"/>
      <c r="F85" s="67"/>
      <c r="G85" s="67"/>
      <c r="H85" s="91" t="s">
        <v>303</v>
      </c>
      <c r="I85" s="68"/>
      <c r="J85" s="68"/>
      <c r="K85" s="68"/>
      <c r="L85" s="68"/>
    </row>
    <row r="86" customFormat="false" ht="15" hidden="false" customHeight="true" outlineLevel="1" collapsed="false">
      <c r="A86" s="68"/>
      <c r="B86" s="72" t="s">
        <v>304</v>
      </c>
      <c r="C86" s="89" t="n">
        <v>0.05</v>
      </c>
      <c r="D86" s="67"/>
      <c r="E86" s="67"/>
      <c r="F86" s="67"/>
      <c r="G86" s="67"/>
      <c r="H86" s="91" t="s">
        <v>305</v>
      </c>
      <c r="I86" s="68"/>
      <c r="J86" s="68"/>
      <c r="K86" s="68"/>
      <c r="L86" s="68"/>
    </row>
    <row r="87" customFormat="false" ht="15" hidden="false" customHeight="true" outlineLevel="1" collapsed="false">
      <c r="A87" s="68"/>
      <c r="B87" s="72" t="s">
        <v>306</v>
      </c>
      <c r="C87" s="89" t="n">
        <v>0.15</v>
      </c>
      <c r="D87" s="67"/>
      <c r="E87" s="67"/>
      <c r="F87" s="67"/>
      <c r="G87" s="67"/>
      <c r="H87" s="91" t="s">
        <v>307</v>
      </c>
      <c r="I87" s="68"/>
      <c r="J87" s="68"/>
      <c r="K87" s="68"/>
      <c r="L87" s="68"/>
    </row>
    <row r="88" customFormat="false" ht="15" hidden="false" customHeight="true" outlineLevel="1" collapsed="false">
      <c r="A88" s="68"/>
      <c r="B88" s="74" t="s">
        <v>308</v>
      </c>
      <c r="C88" s="89" t="n">
        <v>1</v>
      </c>
      <c r="D88" s="67"/>
      <c r="E88" s="67"/>
      <c r="F88" s="67"/>
      <c r="G88" s="67"/>
      <c r="H88" s="91" t="s">
        <v>309</v>
      </c>
      <c r="I88" s="68"/>
      <c r="J88" s="68"/>
      <c r="K88" s="68"/>
      <c r="L88" s="68"/>
    </row>
    <row r="89" customFormat="false" ht="15" hidden="false" customHeight="true" outlineLevel="1" collapsed="false">
      <c r="A89" s="68"/>
      <c r="B89" s="72" t="s">
        <v>310</v>
      </c>
      <c r="C89" s="73" t="n">
        <v>0</v>
      </c>
      <c r="D89" s="67"/>
      <c r="E89" s="67"/>
      <c r="F89" s="67"/>
      <c r="G89" s="67"/>
      <c r="H89" s="91" t="s">
        <v>311</v>
      </c>
      <c r="I89" s="68"/>
      <c r="J89" s="68"/>
      <c r="K89" s="68"/>
      <c r="L89" s="68"/>
    </row>
    <row r="90" customFormat="false" ht="15" hidden="false" customHeight="true" outlineLevel="1" collapsed="false">
      <c r="A90" s="68"/>
      <c r="B90" s="72" t="s">
        <v>312</v>
      </c>
      <c r="C90" s="89" t="n">
        <v>0.1</v>
      </c>
      <c r="D90" s="67"/>
      <c r="E90" s="67"/>
      <c r="F90" s="67"/>
      <c r="G90" s="67"/>
      <c r="H90" s="91" t="s">
        <v>313</v>
      </c>
      <c r="I90" s="68"/>
      <c r="J90" s="68"/>
      <c r="K90" s="68"/>
      <c r="L90" s="68"/>
    </row>
    <row r="91" customFormat="false" ht="15" hidden="false" customHeight="true" outlineLevel="1" collapsed="false">
      <c r="A91" s="68"/>
      <c r="B91" s="74" t="s">
        <v>314</v>
      </c>
      <c r="C91" s="89" t="n">
        <v>1</v>
      </c>
      <c r="D91" s="67"/>
      <c r="E91" s="67"/>
      <c r="F91" s="67"/>
      <c r="G91" s="67"/>
      <c r="H91" s="91" t="s">
        <v>315</v>
      </c>
      <c r="I91" s="68"/>
      <c r="J91" s="68"/>
      <c r="K91" s="68"/>
      <c r="L91" s="68"/>
    </row>
    <row r="92" customFormat="false" ht="15" hidden="false" customHeight="true" outlineLevel="1" collapsed="false">
      <c r="A92" s="68"/>
      <c r="B92" s="88"/>
      <c r="C92" s="88"/>
      <c r="D92" s="88"/>
      <c r="E92" s="88"/>
      <c r="F92" s="88"/>
      <c r="G92" s="88"/>
      <c r="H92" s="90"/>
      <c r="I92" s="68"/>
      <c r="J92" s="68"/>
      <c r="K92" s="68"/>
      <c r="L92" s="68"/>
    </row>
    <row r="93" customFormat="false" ht="21" hidden="false" customHeight="true" outlineLevel="0" collapsed="false">
      <c r="A93" s="64"/>
      <c r="B93" s="79" t="s">
        <v>316</v>
      </c>
      <c r="C93" s="79"/>
      <c r="D93" s="79"/>
      <c r="E93" s="79"/>
      <c r="F93" s="79"/>
      <c r="G93" s="79"/>
      <c r="H93" s="79"/>
      <c r="I93" s="79"/>
      <c r="J93" s="78"/>
      <c r="K93" s="68"/>
      <c r="L93" s="68"/>
    </row>
    <row r="94" customFormat="false" ht="18" hidden="false" customHeight="true" outlineLevel="1" collapsed="false">
      <c r="A94" s="68"/>
      <c r="B94" s="69" t="s">
        <v>84</v>
      </c>
      <c r="C94" s="70" t="s">
        <v>203</v>
      </c>
      <c r="D94" s="70"/>
      <c r="E94" s="70"/>
      <c r="F94" s="70"/>
      <c r="G94" s="70"/>
      <c r="H94" s="70" t="s">
        <v>317</v>
      </c>
      <c r="I94" s="68"/>
      <c r="J94" s="68"/>
      <c r="K94" s="68"/>
      <c r="L94" s="68"/>
    </row>
    <row r="95" customFormat="false" ht="15" hidden="false" customHeight="true" outlineLevel="1" collapsed="false">
      <c r="A95" s="68"/>
      <c r="B95" s="74" t="s">
        <v>318</v>
      </c>
      <c r="C95" s="89" t="n">
        <v>0.135</v>
      </c>
      <c r="D95" s="67"/>
      <c r="E95" s="67"/>
      <c r="F95" s="67"/>
      <c r="G95" s="67"/>
      <c r="H95" s="91" t="s">
        <v>319</v>
      </c>
      <c r="I95" s="68"/>
      <c r="J95" s="68"/>
      <c r="K95" s="68"/>
      <c r="L95" s="68"/>
    </row>
    <row r="96" customFormat="false" ht="15" hidden="false" customHeight="true" outlineLevel="1" collapsed="false">
      <c r="A96" s="68"/>
      <c r="B96" s="74" t="s">
        <v>320</v>
      </c>
      <c r="C96" s="89" t="n">
        <v>0.015</v>
      </c>
      <c r="D96" s="67"/>
      <c r="E96" s="67"/>
      <c r="F96" s="67"/>
      <c r="G96" s="67"/>
      <c r="H96" s="91" t="s">
        <v>321</v>
      </c>
      <c r="I96" s="68"/>
      <c r="J96" s="68"/>
      <c r="K96" s="68"/>
      <c r="L96" s="68"/>
    </row>
    <row r="97" customFormat="false" ht="15" hidden="false" customHeight="true" outlineLevel="1" collapsed="false">
      <c r="A97" s="68"/>
      <c r="B97" s="77" t="s">
        <v>322</v>
      </c>
      <c r="C97" s="89" t="n">
        <v>0.155</v>
      </c>
      <c r="D97" s="67"/>
      <c r="E97" s="67"/>
      <c r="F97" s="67"/>
      <c r="G97" s="67"/>
      <c r="H97" s="91" t="s">
        <v>323</v>
      </c>
      <c r="I97" s="68"/>
      <c r="J97" s="68"/>
      <c r="K97" s="68"/>
      <c r="L97" s="68"/>
    </row>
    <row r="98" customFormat="false" ht="15" hidden="false" customHeight="true" outlineLevel="1" collapsed="false">
      <c r="A98" s="68"/>
      <c r="B98" s="74" t="s">
        <v>324</v>
      </c>
      <c r="C98" s="89" t="n">
        <v>0.03</v>
      </c>
      <c r="D98" s="67"/>
      <c r="E98" s="67"/>
      <c r="F98" s="67"/>
      <c r="G98" s="67"/>
      <c r="H98" s="91" t="s">
        <v>325</v>
      </c>
      <c r="I98" s="68"/>
      <c r="J98" s="68"/>
      <c r="K98" s="68"/>
      <c r="L98" s="68"/>
    </row>
    <row r="99" customFormat="false" ht="15" hidden="false" customHeight="true" outlineLevel="1" collapsed="false">
      <c r="A99" s="68"/>
      <c r="B99" s="74" t="s">
        <v>326</v>
      </c>
      <c r="C99" s="89" t="n">
        <v>1</v>
      </c>
      <c r="D99" s="67"/>
      <c r="E99" s="67"/>
      <c r="F99" s="67"/>
      <c r="G99" s="67"/>
      <c r="H99" s="91" t="s">
        <v>327</v>
      </c>
      <c r="I99" s="68"/>
      <c r="J99" s="68"/>
      <c r="K99" s="68"/>
      <c r="L99" s="68"/>
    </row>
    <row r="100" customFormat="false" ht="15" hidden="false" customHeight="true" outlineLevel="1" collapsed="false">
      <c r="A100" s="68"/>
      <c r="B100" s="74" t="s">
        <v>328</v>
      </c>
      <c r="C100" s="89" t="n">
        <v>1</v>
      </c>
      <c r="D100" s="67"/>
      <c r="E100" s="67"/>
      <c r="F100" s="67"/>
      <c r="G100" s="67"/>
      <c r="H100" s="91" t="s">
        <v>329</v>
      </c>
      <c r="I100" s="68"/>
      <c r="J100" s="68"/>
      <c r="K100" s="68"/>
      <c r="L100" s="68"/>
    </row>
    <row r="101" customFormat="false" ht="15" hidden="false" customHeight="true" outlineLevel="1" collapsed="false">
      <c r="A101" s="68"/>
      <c r="B101" s="74" t="s">
        <v>330</v>
      </c>
      <c r="C101" s="89" t="n">
        <v>0.15</v>
      </c>
      <c r="D101" s="67"/>
      <c r="E101" s="67"/>
      <c r="F101" s="67"/>
      <c r="G101" s="67"/>
      <c r="H101" s="91" t="s">
        <v>331</v>
      </c>
      <c r="I101" s="68"/>
      <c r="J101" s="68"/>
      <c r="K101" s="68"/>
      <c r="L101" s="68"/>
    </row>
    <row r="102" customFormat="false" ht="15" hidden="false" customHeight="true" outlineLevel="1" collapsed="false">
      <c r="A102" s="68"/>
      <c r="B102" s="74" t="s">
        <v>332</v>
      </c>
      <c r="C102" s="89" t="n">
        <v>0.05</v>
      </c>
      <c r="D102" s="67"/>
      <c r="E102" s="67"/>
      <c r="F102" s="67"/>
      <c r="G102" s="67"/>
      <c r="H102" s="91" t="s">
        <v>333</v>
      </c>
      <c r="I102" s="68"/>
      <c r="J102" s="68"/>
      <c r="K102" s="68"/>
      <c r="L102" s="68"/>
    </row>
    <row r="103" customFormat="false" ht="15" hidden="false" customHeight="true" outlineLevel="1" collapsed="false">
      <c r="A103" s="68"/>
      <c r="B103" s="74" t="s">
        <v>11</v>
      </c>
      <c r="C103" s="94" t="s">
        <v>334</v>
      </c>
      <c r="D103" s="88"/>
      <c r="E103" s="88"/>
      <c r="F103" s="88"/>
      <c r="G103" s="88"/>
      <c r="H103" s="90"/>
      <c r="I103" s="68"/>
      <c r="J103" s="68"/>
      <c r="K103" s="68"/>
      <c r="L103" s="68"/>
    </row>
    <row r="104" customFormat="false" ht="21" hidden="false" customHeight="true" outlineLevel="0" collapsed="false">
      <c r="A104" s="64"/>
      <c r="B104" s="79" t="s">
        <v>335</v>
      </c>
      <c r="C104" s="79"/>
      <c r="D104" s="79"/>
      <c r="E104" s="79"/>
      <c r="F104" s="79"/>
      <c r="G104" s="79"/>
      <c r="H104" s="79"/>
      <c r="I104" s="79"/>
      <c r="J104" s="78"/>
      <c r="K104" s="68"/>
      <c r="L104" s="68"/>
    </row>
    <row r="105" customFormat="false" ht="15" hidden="false" customHeight="true" outlineLevel="1" collapsed="false">
      <c r="A105" s="68"/>
      <c r="B105" s="74" t="s">
        <v>336</v>
      </c>
      <c r="C105" s="95" t="s">
        <v>51</v>
      </c>
      <c r="D105" s="95"/>
      <c r="E105" s="95"/>
      <c r="F105" s="95"/>
      <c r="G105" s="95"/>
      <c r="H105" s="90"/>
      <c r="I105" s="68"/>
      <c r="J105" s="68"/>
      <c r="K105" s="68"/>
      <c r="L105" s="68"/>
    </row>
    <row r="106" customFormat="false" ht="15" hidden="false" customHeight="true" outlineLevel="1" collapsed="false">
      <c r="A106" s="68"/>
      <c r="B106" s="74" t="s">
        <v>337</v>
      </c>
      <c r="C106" s="95" t="s">
        <v>338</v>
      </c>
      <c r="D106" s="95"/>
      <c r="E106" s="95"/>
      <c r="F106" s="95"/>
      <c r="G106" s="95"/>
      <c r="H106" s="90"/>
      <c r="I106" s="68"/>
      <c r="J106" s="68"/>
      <c r="K106" s="68"/>
      <c r="L106" s="68"/>
    </row>
    <row r="107" customFormat="false" ht="15" hidden="false" customHeight="true" outlineLevel="1" collapsed="false">
      <c r="A107" s="68"/>
      <c r="B107" s="74" t="s">
        <v>339</v>
      </c>
      <c r="C107" s="95" t="s">
        <v>340</v>
      </c>
      <c r="D107" s="95"/>
      <c r="E107" s="95"/>
      <c r="F107" s="95"/>
      <c r="G107" s="95"/>
      <c r="H107" s="90"/>
      <c r="I107" s="68"/>
      <c r="J107" s="68"/>
      <c r="K107" s="68"/>
      <c r="L107" s="68"/>
    </row>
    <row r="108" customFormat="false" ht="15" hidden="false" customHeight="true" outlineLevel="1" collapsed="false">
      <c r="A108" s="68"/>
      <c r="B108" s="74" t="s">
        <v>4</v>
      </c>
      <c r="C108" s="95" t="s">
        <v>341</v>
      </c>
      <c r="D108" s="95"/>
      <c r="E108" s="95"/>
      <c r="F108" s="95"/>
      <c r="G108" s="95"/>
      <c r="H108" s="90"/>
      <c r="I108" s="68"/>
      <c r="J108" s="68"/>
      <c r="K108" s="68"/>
      <c r="L108" s="68"/>
    </row>
    <row r="109" customFormat="false" ht="15" hidden="false" customHeight="true" outlineLevel="1" collapsed="false">
      <c r="A109" s="68"/>
      <c r="B109" s="74" t="s">
        <v>8</v>
      </c>
      <c r="C109" s="95" t="s">
        <v>342</v>
      </c>
      <c r="D109" s="95"/>
      <c r="E109" s="95"/>
      <c r="F109" s="95"/>
      <c r="G109" s="95"/>
      <c r="H109" s="90"/>
      <c r="I109" s="68"/>
      <c r="J109" s="68"/>
      <c r="K109" s="68"/>
      <c r="L109" s="68"/>
    </row>
    <row r="110" customFormat="false" ht="15" hidden="false" customHeight="true" outlineLevel="1" collapsed="false">
      <c r="A110" s="68"/>
      <c r="B110" s="74" t="s">
        <v>7</v>
      </c>
      <c r="C110" s="95" t="s">
        <v>343</v>
      </c>
      <c r="D110" s="95"/>
      <c r="E110" s="95"/>
      <c r="F110" s="95"/>
      <c r="G110" s="95"/>
      <c r="H110" s="90"/>
      <c r="I110" s="68"/>
      <c r="J110" s="68"/>
      <c r="K110" s="68"/>
      <c r="L110" s="68"/>
    </row>
    <row r="111" customFormat="false" ht="15" hidden="false" customHeight="true" outlineLevel="1" collapsed="false">
      <c r="A111" s="68"/>
      <c r="B111" s="72" t="s">
        <v>37</v>
      </c>
      <c r="C111" s="96" t="n">
        <v>46105</v>
      </c>
      <c r="D111" s="67"/>
      <c r="E111" s="94" t="s">
        <v>344</v>
      </c>
      <c r="F111" s="97" t="s">
        <v>345</v>
      </c>
      <c r="G111" s="67"/>
      <c r="H111" s="67"/>
      <c r="I111" s="68"/>
      <c r="J111" s="68"/>
      <c r="K111" s="68"/>
      <c r="L111" s="68"/>
    </row>
    <row r="112" customFormat="false" ht="21" hidden="false" customHeight="true" outlineLevel="1" collapsed="false">
      <c r="A112" s="64"/>
      <c r="B112" s="79" t="s">
        <v>346</v>
      </c>
      <c r="C112" s="79"/>
      <c r="D112" s="79"/>
      <c r="E112" s="79"/>
      <c r="F112" s="79"/>
      <c r="G112" s="79"/>
      <c r="H112" s="79"/>
      <c r="I112" s="79"/>
      <c r="J112" s="78"/>
      <c r="K112" s="68"/>
      <c r="L112" s="68"/>
    </row>
    <row r="113" customFormat="false" ht="21.75" hidden="false" customHeight="true" outlineLevel="1" collapsed="false">
      <c r="A113" s="68"/>
      <c r="B113" s="80" t="s">
        <v>347</v>
      </c>
      <c r="C113" s="80"/>
      <c r="D113" s="80"/>
      <c r="E113" s="80"/>
      <c r="F113" s="80"/>
      <c r="G113" s="80"/>
      <c r="H113" s="80"/>
      <c r="I113" s="68"/>
      <c r="J113" s="68"/>
      <c r="K113" s="68"/>
      <c r="L113" s="68"/>
    </row>
    <row r="114" customFormat="false" ht="18" hidden="false" customHeight="true" outlineLevel="1" collapsed="false">
      <c r="A114" s="68"/>
      <c r="B114" s="69" t="s">
        <v>348</v>
      </c>
      <c r="C114" s="70" t="s">
        <v>109</v>
      </c>
      <c r="D114" s="70" t="s">
        <v>51</v>
      </c>
      <c r="E114" s="70" t="s">
        <v>52</v>
      </c>
      <c r="F114" s="70" t="s">
        <v>53</v>
      </c>
      <c r="G114" s="70" t="s">
        <v>54</v>
      </c>
      <c r="H114" s="70"/>
      <c r="I114" s="68"/>
      <c r="J114" s="68"/>
      <c r="K114" s="68"/>
      <c r="L114" s="68"/>
    </row>
    <row r="115" customFormat="false" ht="15" hidden="false" customHeight="true" outlineLevel="1" collapsed="false">
      <c r="A115" s="68"/>
      <c r="B115" s="6" t="s">
        <v>349</v>
      </c>
      <c r="C115" s="6"/>
      <c r="D115" s="6"/>
      <c r="E115" s="6"/>
      <c r="F115" s="6"/>
      <c r="G115" s="6"/>
      <c r="H115" s="6"/>
      <c r="I115" s="68"/>
      <c r="J115" s="68"/>
      <c r="K115" s="68"/>
      <c r="L115" s="68"/>
    </row>
    <row r="116" customFormat="false" ht="21.75" hidden="false" customHeight="true" outlineLevel="1" collapsed="false">
      <c r="A116" s="68"/>
      <c r="B116" s="74" t="s">
        <v>350</v>
      </c>
      <c r="C116" s="84" t="n">
        <f aca="false">C15+C23</f>
        <v>0.051</v>
      </c>
      <c r="D116" s="84" t="n">
        <f aca="false">D15+D23</f>
        <v>0.038</v>
      </c>
      <c r="E116" s="84" t="n">
        <f aca="false">D116+$C$24*((E15+$C$5)-D15)</f>
        <v>0.03575</v>
      </c>
      <c r="F116" s="84" t="n">
        <f aca="false">E116+$C$24*(F15-E15)</f>
        <v>0.0335</v>
      </c>
      <c r="G116" s="84" t="n">
        <f aca="false">F116+$C$24*(G15-F15)</f>
        <v>0.0335</v>
      </c>
      <c r="H116" s="93"/>
      <c r="I116" s="68"/>
      <c r="J116" s="68"/>
      <c r="K116" s="68"/>
      <c r="L116" s="68"/>
    </row>
    <row r="117" customFormat="false" ht="21.75" hidden="false" customHeight="true" outlineLevel="1" collapsed="false">
      <c r="A117" s="68"/>
      <c r="B117" s="74" t="s">
        <v>351</v>
      </c>
      <c r="C117" s="84" t="n">
        <f aca="false">MAX(0,C14+C25)</f>
        <v>0.02</v>
      </c>
      <c r="D117" s="84" t="n">
        <f aca="false">MAX(0,D14+D25)</f>
        <v>0.005</v>
      </c>
      <c r="E117" s="84" t="n">
        <f aca="false">MAX(0,D117+$F$5*((E14+$C$5)-D14))</f>
        <v>0.004</v>
      </c>
      <c r="F117" s="84" t="n">
        <f aca="false">MAX(0,E117+$F$5*(F14-E14))</f>
        <v>0.003</v>
      </c>
      <c r="G117" s="84" t="n">
        <f aca="false">MAX(0,F117+$F$5*(G14-F14))</f>
        <v>0.003</v>
      </c>
      <c r="H117" s="93"/>
      <c r="I117" s="68"/>
      <c r="J117" s="68"/>
      <c r="K117" s="68"/>
      <c r="L117" s="68"/>
    </row>
    <row r="118" customFormat="false" ht="21.75" hidden="false" customHeight="true" outlineLevel="1" collapsed="false">
      <c r="A118" s="68"/>
      <c r="B118" s="74" t="s">
        <v>352</v>
      </c>
      <c r="C118" s="84" t="n">
        <f aca="false">C14+C28</f>
        <v>0.03915</v>
      </c>
      <c r="D118" s="84" t="n">
        <f aca="false">D14+D28</f>
        <v>0.02415</v>
      </c>
      <c r="E118" s="84" t="n">
        <f aca="false">MAX(0,(E14+$C$5)+E28)</f>
        <v>0.02165</v>
      </c>
      <c r="F118" s="84" t="n">
        <f aca="false">MAX(0,(F14+$C$5)+F28)</f>
        <v>0.01915</v>
      </c>
      <c r="G118" s="84" t="n">
        <f aca="false">MAX(0,(G14+$C$5)+G28)</f>
        <v>0.01915</v>
      </c>
      <c r="H118" s="93"/>
      <c r="I118" s="68"/>
      <c r="J118" s="68"/>
      <c r="K118" s="68"/>
      <c r="L118" s="68"/>
    </row>
    <row r="119" customFormat="false" ht="15" hidden="false" customHeight="true" outlineLevel="1" collapsed="false">
      <c r="A119" s="68"/>
      <c r="B119" s="74" t="s">
        <v>353</v>
      </c>
      <c r="C119" s="84" t="n">
        <f aca="false">C17+C26</f>
        <v>0.03</v>
      </c>
      <c r="D119" s="84" t="n">
        <f aca="false">D17+D26</f>
        <v>0.03</v>
      </c>
      <c r="E119" s="84" t="n">
        <f aca="false">MAX(0,(E17+$C$5)+E26)</f>
        <v>0.0295</v>
      </c>
      <c r="F119" s="84" t="n">
        <f aca="false">MAX(0,(F17+$C$5)+F26)</f>
        <v>0.029</v>
      </c>
      <c r="G119" s="84" t="n">
        <f aca="false">MAX(0,(G17+$C$5)+G26)</f>
        <v>0.0285</v>
      </c>
      <c r="H119" s="93"/>
      <c r="I119" s="68"/>
      <c r="J119" s="68"/>
      <c r="K119" s="68"/>
      <c r="L119" s="68"/>
    </row>
    <row r="120" customFormat="false" ht="15" hidden="false" customHeight="true" outlineLevel="1" collapsed="false">
      <c r="A120" s="68"/>
      <c r="B120" s="74" t="s">
        <v>354</v>
      </c>
      <c r="C120" s="84" t="n">
        <f aca="false">C17+C29</f>
        <v>0.0335</v>
      </c>
      <c r="D120" s="84" t="n">
        <f aca="false">D17+D29</f>
        <v>0.0325</v>
      </c>
      <c r="E120" s="84" t="n">
        <f aca="false">MAX(0,(E17+$C$5)+E29)</f>
        <v>0.032</v>
      </c>
      <c r="F120" s="84" t="n">
        <f aca="false">MAX(0,(F17+$C$5)+F29)</f>
        <v>0.0315</v>
      </c>
      <c r="G120" s="84" t="n">
        <f aca="false">MAX(0,(G17+$C$5)+G29)</f>
        <v>0.031</v>
      </c>
      <c r="H120" s="93"/>
      <c r="I120" s="68"/>
      <c r="J120" s="68"/>
      <c r="K120" s="68"/>
      <c r="L120" s="68"/>
    </row>
    <row r="121" customFormat="false" ht="15" hidden="false" customHeight="true" outlineLevel="1" collapsed="false">
      <c r="A121" s="68"/>
      <c r="B121" s="74" t="s">
        <v>355</v>
      </c>
      <c r="C121" s="84" t="n">
        <f aca="false">C15+C27</f>
        <v>0.043</v>
      </c>
      <c r="D121" s="84" t="n">
        <f aca="false">D15+D27</f>
        <v>0.031</v>
      </c>
      <c r="E121" s="84" t="n">
        <f aca="false">MAX(0,(E15+$C$5)+E27)</f>
        <v>0.0285</v>
      </c>
      <c r="F121" s="84" t="n">
        <f aca="false">MAX(0,(F15+$C$5)+F27)</f>
        <v>0.026</v>
      </c>
      <c r="G121" s="84" t="n">
        <f aca="false">MAX(0,(G15+$C$5)+G27)</f>
        <v>0.026</v>
      </c>
      <c r="H121" s="93"/>
      <c r="I121" s="68"/>
      <c r="J121" s="68"/>
      <c r="K121" s="68"/>
      <c r="L121" s="68"/>
    </row>
    <row r="122" customFormat="false" ht="15" hidden="false" customHeight="true" outlineLevel="1" collapsed="false">
      <c r="A122" s="68"/>
      <c r="B122" s="74" t="s">
        <v>356</v>
      </c>
      <c r="C122" s="84" t="n">
        <f aca="false">C30</f>
        <v>0.025</v>
      </c>
      <c r="D122" s="84" t="n">
        <f aca="false">D30</f>
        <v>0.025</v>
      </c>
      <c r="E122" s="84" t="n">
        <f aca="false">E30</f>
        <v>0.025</v>
      </c>
      <c r="F122" s="84" t="n">
        <f aca="false">F30</f>
        <v>0.025</v>
      </c>
      <c r="G122" s="84" t="n">
        <f aca="false">G30</f>
        <v>0.025</v>
      </c>
      <c r="H122" s="93"/>
      <c r="I122" s="68"/>
      <c r="J122" s="68"/>
      <c r="K122" s="68"/>
      <c r="L122" s="68"/>
    </row>
    <row r="123" customFormat="false" ht="15" hidden="false" customHeight="true" outlineLevel="1" collapsed="false">
      <c r="A123" s="68"/>
      <c r="B123" s="67"/>
      <c r="C123" s="67"/>
      <c r="D123" s="67"/>
      <c r="E123" s="67"/>
      <c r="F123" s="67"/>
      <c r="G123" s="67"/>
      <c r="H123" s="67"/>
      <c r="I123" s="68"/>
      <c r="J123" s="68"/>
      <c r="K123" s="68"/>
      <c r="L123" s="68"/>
    </row>
    <row r="124" customFormat="false" ht="15" hidden="false" customHeight="true" outlineLevel="1" collapsed="false">
      <c r="A124" s="68"/>
      <c r="B124" s="6" t="s">
        <v>55</v>
      </c>
      <c r="C124" s="6"/>
      <c r="D124" s="6"/>
      <c r="E124" s="6"/>
      <c r="F124" s="6"/>
      <c r="G124" s="6"/>
      <c r="H124" s="6"/>
      <c r="I124" s="68"/>
      <c r="J124" s="68"/>
      <c r="K124" s="68"/>
      <c r="L124" s="68"/>
    </row>
    <row r="125" customFormat="false" ht="18" hidden="false" customHeight="true" outlineLevel="1" collapsed="false">
      <c r="A125" s="68"/>
      <c r="B125" s="69" t="s">
        <v>357</v>
      </c>
      <c r="C125" s="70" t="s">
        <v>109</v>
      </c>
      <c r="D125" s="70" t="s">
        <v>51</v>
      </c>
      <c r="E125" s="70" t="s">
        <v>52</v>
      </c>
      <c r="F125" s="70" t="s">
        <v>53</v>
      </c>
      <c r="G125" s="70" t="s">
        <v>54</v>
      </c>
      <c r="H125" s="70"/>
      <c r="I125" s="68"/>
      <c r="J125" s="68"/>
      <c r="K125" s="68"/>
      <c r="L125" s="68"/>
    </row>
    <row r="126" customFormat="false" ht="21.75" hidden="false" customHeight="true" outlineLevel="1" collapsed="false">
      <c r="A126" s="68"/>
      <c r="B126" s="72" t="s">
        <v>358</v>
      </c>
      <c r="C126" s="98" t="n">
        <f aca="false">'Master Balance Sheet'!C4</f>
        <v>182496</v>
      </c>
      <c r="D126" s="98" t="n">
        <f aca="false">'Master Balance Sheet'!D4</f>
        <v>211330</v>
      </c>
      <c r="E126" s="99" t="n">
        <f aca="false">E146-SUM(E127:E131)</f>
        <v>214325.326591599</v>
      </c>
      <c r="F126" s="99" t="n">
        <f aca="false">F146-SUM(F127:F131)</f>
        <v>217157.600723092</v>
      </c>
      <c r="G126" s="99" t="n">
        <f aca="false">G146-SUM(G127:G131)</f>
        <v>219876.4204556</v>
      </c>
      <c r="H126" s="93"/>
      <c r="I126" s="68"/>
      <c r="J126" s="68"/>
      <c r="K126" s="68"/>
      <c r="L126" s="68"/>
    </row>
    <row r="127" customFormat="false" ht="21.75" hidden="false" customHeight="true" outlineLevel="1" collapsed="false">
      <c r="A127" s="68"/>
      <c r="B127" s="72" t="s">
        <v>57</v>
      </c>
      <c r="C127" s="98" t="n">
        <f aca="false">SUM('Master Balance Sheet'!C5:C8)</f>
        <v>836538</v>
      </c>
      <c r="D127" s="98" t="n">
        <f aca="false">SUM('Master Balance Sheet'!D5:D8)</f>
        <v>870245</v>
      </c>
      <c r="E127" s="98" t="n">
        <f aca="false">Engine!D127*(1+CHOOSE(Engine!C4,0,0.02,-0.02,-0.05))</f>
        <v>870245</v>
      </c>
      <c r="F127" s="98" t="n">
        <f aca="false">Engine!E127*(1+CHOOSE(Engine!C4,0,0.02,-0.02,-0.05))</f>
        <v>870245</v>
      </c>
      <c r="G127" s="98" t="n">
        <f aca="false">Engine!F127*(1+CHOOSE(Engine!C4,0,0.02,-0.02,-0.05))</f>
        <v>870245</v>
      </c>
      <c r="H127" s="93"/>
      <c r="I127" s="68"/>
      <c r="J127" s="68"/>
      <c r="K127" s="68"/>
      <c r="L127" s="68"/>
    </row>
    <row r="128" customFormat="false" ht="21.75" hidden="false" customHeight="true" outlineLevel="1" collapsed="false">
      <c r="A128" s="68"/>
      <c r="B128" s="72" t="s">
        <v>58</v>
      </c>
      <c r="C128" s="98" t="n">
        <f aca="false">'Master Balance Sheet'!C12</f>
        <v>900141</v>
      </c>
      <c r="D128" s="98" t="n">
        <f aca="false">'Master Balance Sheet'!D12</f>
        <v>897358</v>
      </c>
      <c r="E128" s="99" t="n">
        <f aca="false">D128*(1+$D$5)</f>
        <v>924278.74</v>
      </c>
      <c r="F128" s="99" t="n">
        <f aca="false">E128*(1+$D$5)</f>
        <v>952007.1022</v>
      </c>
      <c r="G128" s="99" t="n">
        <f aca="false">F128*(1+$D$5)</f>
        <v>980567.315266</v>
      </c>
      <c r="H128" s="93"/>
      <c r="I128" s="68"/>
      <c r="J128" s="68"/>
      <c r="K128" s="68"/>
      <c r="L128" s="68"/>
    </row>
    <row r="129" customFormat="false" ht="21.75" hidden="false" customHeight="true" outlineLevel="1" collapsed="false">
      <c r="A129" s="68"/>
      <c r="B129" s="72" t="s">
        <v>59</v>
      </c>
      <c r="C129" s="98" t="n">
        <f aca="false">'Master Balance Sheet'!C11</f>
        <v>31147</v>
      </c>
      <c r="D129" s="98" t="n">
        <f aca="false">'Master Balance Sheet'!D11</f>
        <v>26259</v>
      </c>
      <c r="E129" s="99" t="n">
        <f aca="false">D129</f>
        <v>26259</v>
      </c>
      <c r="F129" s="99" t="n">
        <f aca="false">E129</f>
        <v>26259</v>
      </c>
      <c r="G129" s="99" t="n">
        <f aca="false">F129</f>
        <v>26259</v>
      </c>
      <c r="H129" s="93"/>
      <c r="I129" s="68"/>
      <c r="J129" s="68"/>
      <c r="K129" s="68"/>
      <c r="L129" s="68"/>
    </row>
    <row r="130" customFormat="false" ht="21.75" hidden="false" customHeight="true" outlineLevel="1" collapsed="false">
      <c r="A130" s="68"/>
      <c r="B130" s="74" t="s">
        <v>359</v>
      </c>
      <c r="C130" s="98" t="n">
        <f aca="false">'Master Balance Sheet'!C10+'Master Balance Sheet'!C13</f>
        <v>148585</v>
      </c>
      <c r="D130" s="98" t="n">
        <f aca="false">'Master Balance Sheet'!D10+'Master Balance Sheet'!D13</f>
        <v>153107</v>
      </c>
      <c r="E130" s="99" t="n">
        <f aca="false">D130*(1+$D$5)</f>
        <v>157700.21</v>
      </c>
      <c r="F130" s="99" t="n">
        <f aca="false">E130*(1+$D$5)</f>
        <v>162431.2163</v>
      </c>
      <c r="G130" s="99" t="n">
        <f aca="false">F130*(1+$D$5)</f>
        <v>167304.152789</v>
      </c>
      <c r="H130" s="93"/>
      <c r="I130" s="68"/>
      <c r="J130" s="68"/>
      <c r="K130" s="68"/>
      <c r="L130" s="68"/>
    </row>
    <row r="131" customFormat="false" ht="21.75" hidden="false" customHeight="true" outlineLevel="1" collapsed="false">
      <c r="A131" s="68"/>
      <c r="B131" s="72" t="s">
        <v>61</v>
      </c>
      <c r="C131" s="98" t="n">
        <f aca="false">'Master Balance Sheet'!C23-SUM(C126:C130)</f>
        <v>606001</v>
      </c>
      <c r="D131" s="98" t="n">
        <f aca="false">'Master Balance Sheet'!D23-SUM(D126:D130)</f>
        <v>634682</v>
      </c>
      <c r="E131" s="99" t="n">
        <f aca="false">D131*$C$260</f>
        <v>641028.82</v>
      </c>
      <c r="F131" s="99" t="n">
        <f aca="false">E131*$C$260</f>
        <v>647439.1082</v>
      </c>
      <c r="G131" s="99" t="n">
        <f aca="false">F131*$C$260</f>
        <v>653913.499282</v>
      </c>
      <c r="H131" s="93"/>
      <c r="I131" s="68"/>
      <c r="J131" s="68"/>
      <c r="K131" s="68"/>
      <c r="L131" s="68"/>
    </row>
    <row r="132" customFormat="false" ht="15" hidden="false" customHeight="true" outlineLevel="1" collapsed="false">
      <c r="A132" s="68"/>
      <c r="B132" s="77" t="s">
        <v>62</v>
      </c>
      <c r="C132" s="99" t="n">
        <f aca="false">SUM(C126:C131)</f>
        <v>2704908</v>
      </c>
      <c r="D132" s="99" t="n">
        <f aca="false">SUM(D126:D131)</f>
        <v>2792981</v>
      </c>
      <c r="E132" s="99" t="n">
        <f aca="false">SUM(E126:E131)</f>
        <v>2833837.09659159</v>
      </c>
      <c r="F132" s="99" t="n">
        <f aca="false">SUM(F126:F131)</f>
        <v>2875539.02742309</v>
      </c>
      <c r="G132" s="99" t="n">
        <f aca="false">SUM(G126:G131)</f>
        <v>2918165.3877926</v>
      </c>
      <c r="H132" s="100"/>
      <c r="I132" s="68"/>
      <c r="J132" s="68"/>
      <c r="K132" s="68"/>
      <c r="L132" s="68"/>
    </row>
    <row r="133" customFormat="false" ht="15" hidden="false" customHeight="true" outlineLevel="1" collapsed="false">
      <c r="A133" s="68"/>
      <c r="B133" s="67"/>
      <c r="C133" s="67"/>
      <c r="D133" s="67"/>
      <c r="E133" s="67"/>
      <c r="F133" s="67"/>
      <c r="G133" s="67"/>
      <c r="H133" s="67"/>
      <c r="I133" s="68"/>
      <c r="J133" s="68"/>
      <c r="K133" s="68"/>
      <c r="L133" s="68"/>
    </row>
    <row r="134" customFormat="false" ht="15" hidden="false" customHeight="true" outlineLevel="1" collapsed="false">
      <c r="A134" s="68"/>
      <c r="B134" s="6" t="s">
        <v>129</v>
      </c>
      <c r="C134" s="6"/>
      <c r="D134" s="6"/>
      <c r="E134" s="6"/>
      <c r="F134" s="6"/>
      <c r="G134" s="6"/>
      <c r="H134" s="6"/>
      <c r="I134" s="68"/>
      <c r="J134" s="68"/>
      <c r="K134" s="68"/>
      <c r="L134" s="68"/>
    </row>
    <row r="135" customFormat="false" ht="18" hidden="false" customHeight="true" outlineLevel="1" collapsed="false">
      <c r="A135" s="68"/>
      <c r="B135" s="69" t="s">
        <v>360</v>
      </c>
      <c r="C135" s="70" t="s">
        <v>109</v>
      </c>
      <c r="D135" s="70" t="s">
        <v>51</v>
      </c>
      <c r="E135" s="70" t="s">
        <v>52</v>
      </c>
      <c r="F135" s="70" t="s">
        <v>53</v>
      </c>
      <c r="G135" s="70" t="s">
        <v>54</v>
      </c>
      <c r="H135" s="70"/>
      <c r="I135" s="68"/>
      <c r="J135" s="68"/>
      <c r="K135" s="68"/>
      <c r="L135" s="68"/>
    </row>
    <row r="136" customFormat="false" ht="21.75" hidden="false" customHeight="true" outlineLevel="1" collapsed="false">
      <c r="A136" s="68"/>
      <c r="B136" s="74" t="s">
        <v>64</v>
      </c>
      <c r="C136" s="98" t="n">
        <f aca="false">'Master Balance Sheet'!C32</f>
        <v>1034857</v>
      </c>
      <c r="D136" s="98" t="n">
        <f aca="false">'Master Balance Sheet'!D32</f>
        <v>1075564</v>
      </c>
      <c r="E136" s="99" t="n">
        <f aca="false">D136*(1+$E$5)</f>
        <v>1102453.1</v>
      </c>
      <c r="F136" s="99" t="n">
        <f aca="false">E136*(1+$E$5)</f>
        <v>1130014.4275</v>
      </c>
      <c r="G136" s="99" t="n">
        <f aca="false">F136*(1+$E$5)</f>
        <v>1158264.7881875</v>
      </c>
      <c r="H136" s="93"/>
      <c r="I136" s="68"/>
      <c r="J136" s="68"/>
      <c r="K136" s="68"/>
      <c r="L136" s="68"/>
    </row>
    <row r="137" customFormat="false" ht="21.75" hidden="false" customHeight="true" outlineLevel="1" collapsed="false">
      <c r="A137" s="68"/>
      <c r="B137" s="74" t="s">
        <v>65</v>
      </c>
      <c r="C137" s="98" t="n">
        <f aca="false">'Master Balance Sheet'!C31</f>
        <v>66872</v>
      </c>
      <c r="D137" s="98" t="n">
        <f aca="false">'Master Balance Sheet'!D31</f>
        <v>69938</v>
      </c>
      <c r="E137" s="99" t="n">
        <f aca="false">D137</f>
        <v>69938</v>
      </c>
      <c r="F137" s="99" t="n">
        <f aca="false">E137</f>
        <v>69938</v>
      </c>
      <c r="G137" s="99" t="n">
        <f aca="false">F137</f>
        <v>69938</v>
      </c>
      <c r="H137" s="93"/>
      <c r="I137" s="68"/>
      <c r="J137" s="68"/>
      <c r="K137" s="68"/>
      <c r="L137" s="68"/>
    </row>
    <row r="138" customFormat="false" ht="21.75" hidden="false" customHeight="true" outlineLevel="1" collapsed="false">
      <c r="A138" s="68"/>
      <c r="B138" s="74" t="s">
        <v>66</v>
      </c>
      <c r="C138" s="98" t="n">
        <f aca="false">'Master Balance Sheet'!C27</f>
        <v>304817</v>
      </c>
      <c r="D138" s="98" t="n">
        <f aca="false">'Master Balance Sheet'!D27</f>
        <v>357947</v>
      </c>
      <c r="E138" s="99" t="n">
        <f aca="false">D138</f>
        <v>357947</v>
      </c>
      <c r="F138" s="99" t="n">
        <f aca="false">E138</f>
        <v>357947</v>
      </c>
      <c r="G138" s="99" t="n">
        <f aca="false">F138</f>
        <v>357947</v>
      </c>
      <c r="H138" s="93"/>
      <c r="I138" s="68"/>
      <c r="J138" s="68"/>
      <c r="K138" s="68"/>
      <c r="L138" s="68"/>
    </row>
    <row r="139" customFormat="false" ht="21.75" hidden="false" customHeight="true" outlineLevel="1" collapsed="false">
      <c r="A139" s="68"/>
      <c r="B139" s="74" t="s">
        <v>67</v>
      </c>
      <c r="C139" s="98" t="n">
        <f aca="false">'Master Balance Sheet'!C33</f>
        <v>198119</v>
      </c>
      <c r="D139" s="98" t="n">
        <f aca="false">'Master Balance Sheet'!D33</f>
        <v>173933</v>
      </c>
      <c r="E139" s="99" t="n">
        <f aca="false">D139</f>
        <v>173933</v>
      </c>
      <c r="F139" s="99" t="n">
        <f aca="false">E139</f>
        <v>173933</v>
      </c>
      <c r="G139" s="99" t="n">
        <f aca="false">F139</f>
        <v>173933</v>
      </c>
      <c r="H139" s="93"/>
      <c r="I139" s="68"/>
      <c r="J139" s="68"/>
      <c r="K139" s="68"/>
      <c r="L139" s="68"/>
    </row>
    <row r="140" customFormat="false" ht="21.75" hidden="false" customHeight="true" outlineLevel="1" collapsed="false">
      <c r="A140" s="68"/>
      <c r="B140" s="74" t="s">
        <v>68</v>
      </c>
      <c r="C140" s="98" t="n">
        <f aca="false">'Master Balance Sheet'!C34</f>
        <v>31799</v>
      </c>
      <c r="D140" s="98" t="n">
        <f aca="false">'Master Balance Sheet'!D34</f>
        <v>34468</v>
      </c>
      <c r="E140" s="99" t="n">
        <f aca="false">D140</f>
        <v>34468</v>
      </c>
      <c r="F140" s="99" t="n">
        <f aca="false">E140</f>
        <v>34468</v>
      </c>
      <c r="G140" s="99" t="n">
        <f aca="false">F140</f>
        <v>34468</v>
      </c>
      <c r="H140" s="93"/>
      <c r="I140" s="68"/>
      <c r="J140" s="68"/>
      <c r="K140" s="68"/>
      <c r="L140" s="68"/>
    </row>
    <row r="141" customFormat="false" ht="21.75" hidden="false" customHeight="true" outlineLevel="1" collapsed="false">
      <c r="A141" s="68"/>
      <c r="B141" s="74" t="s">
        <v>69</v>
      </c>
      <c r="C141" s="98" t="n">
        <f aca="false">'Master Balance Sheet'!C42-SUM(C136:C140)</f>
        <v>934303</v>
      </c>
      <c r="D141" s="98" t="n">
        <f aca="false">'Master Balance Sheet'!D42-SUM(D136:D140)</f>
        <v>948958</v>
      </c>
      <c r="E141" s="99" t="n">
        <f aca="false">D141*$C$260</f>
        <v>958447.58</v>
      </c>
      <c r="F141" s="99" t="n">
        <f aca="false">E141*$C$260</f>
        <v>968032.0558</v>
      </c>
      <c r="G141" s="99" t="n">
        <f aca="false">F141*$C$260</f>
        <v>977712.376358</v>
      </c>
      <c r="H141" s="93"/>
      <c r="I141" s="68"/>
      <c r="J141" s="68"/>
      <c r="K141" s="68"/>
      <c r="L141" s="68"/>
    </row>
    <row r="142" customFormat="false" ht="15" hidden="false" customHeight="true" outlineLevel="1" collapsed="false">
      <c r="A142" s="68"/>
      <c r="B142" s="77" t="s">
        <v>70</v>
      </c>
      <c r="C142" s="99" t="n">
        <f aca="false">SUM(C136:C141)</f>
        <v>2570767</v>
      </c>
      <c r="D142" s="99" t="n">
        <f aca="false">SUM(D136:D141)</f>
        <v>2660808</v>
      </c>
      <c r="E142" s="99" t="n">
        <f aca="false">SUM(E136:E141)</f>
        <v>2697186.68</v>
      </c>
      <c r="F142" s="99" t="n">
        <f aca="false">SUM(F136:F141)</f>
        <v>2734332.4833</v>
      </c>
      <c r="G142" s="99" t="n">
        <f aca="false">SUM(G136:G141)</f>
        <v>2772263.1645455</v>
      </c>
      <c r="H142" s="100"/>
      <c r="I142" s="68"/>
      <c r="J142" s="68"/>
      <c r="K142" s="68"/>
      <c r="L142" s="68"/>
    </row>
    <row r="143" customFormat="false" ht="15" hidden="false" customHeight="true" outlineLevel="1" collapsed="false">
      <c r="A143" s="68"/>
      <c r="B143" s="67"/>
      <c r="C143" s="67"/>
      <c r="D143" s="67"/>
      <c r="E143" s="67"/>
      <c r="F143" s="67"/>
      <c r="G143" s="67"/>
      <c r="H143" s="67"/>
      <c r="I143" s="68"/>
      <c r="J143" s="68"/>
      <c r="K143" s="68"/>
      <c r="L143" s="68"/>
    </row>
    <row r="144" customFormat="false" ht="18" hidden="false" customHeight="true" outlineLevel="1" collapsed="false">
      <c r="A144" s="68"/>
      <c r="B144" s="69" t="s">
        <v>361</v>
      </c>
      <c r="C144" s="70" t="s">
        <v>109</v>
      </c>
      <c r="D144" s="70" t="s">
        <v>51</v>
      </c>
      <c r="E144" s="70" t="s">
        <v>52</v>
      </c>
      <c r="F144" s="70" t="s">
        <v>53</v>
      </c>
      <c r="G144" s="70" t="s">
        <v>54</v>
      </c>
      <c r="H144" s="70"/>
      <c r="I144" s="68"/>
      <c r="J144" s="68"/>
      <c r="K144" s="68"/>
      <c r="L144" s="68"/>
    </row>
    <row r="145" customFormat="false" ht="21.75" hidden="false" customHeight="true" outlineLevel="1" collapsed="false">
      <c r="A145" s="68"/>
      <c r="B145" s="72" t="s">
        <v>362</v>
      </c>
      <c r="C145" s="98" t="n">
        <f aca="false">'Master Balance Sheet'!C50</f>
        <v>134141</v>
      </c>
      <c r="D145" s="98" t="n">
        <f aca="false">'Master Balance Sheet'!D50</f>
        <v>132173</v>
      </c>
      <c r="E145" s="98" t="n">
        <f aca="false">D145+Model!D33</f>
        <v>136650.416591599</v>
      </c>
      <c r="F145" s="98" t="n">
        <f aca="false">E145+Model!E33</f>
        <v>141206.544123092</v>
      </c>
      <c r="G145" s="98" t="n">
        <f aca="false">F145+Model!F33</f>
        <v>145902.2232471</v>
      </c>
      <c r="H145" s="91"/>
      <c r="I145" s="68"/>
      <c r="J145" s="68"/>
      <c r="K145" s="68"/>
      <c r="L145" s="68"/>
    </row>
    <row r="146" customFormat="false" ht="15" hidden="false" customHeight="true" outlineLevel="1" collapsed="false">
      <c r="A146" s="68"/>
      <c r="B146" s="77" t="s">
        <v>72</v>
      </c>
      <c r="C146" s="99" t="n">
        <f aca="false">C142+C145</f>
        <v>2704908</v>
      </c>
      <c r="D146" s="99" t="n">
        <f aca="false">D142+D145</f>
        <v>2792981</v>
      </c>
      <c r="E146" s="99" t="n">
        <f aca="false">E142+E145</f>
        <v>2833837.0965916</v>
      </c>
      <c r="F146" s="99" t="n">
        <f aca="false">F142+F145</f>
        <v>2875539.02742309</v>
      </c>
      <c r="G146" s="99" t="n">
        <f aca="false">G142+G145</f>
        <v>2918165.3877926</v>
      </c>
      <c r="H146" s="91"/>
      <c r="I146" s="68"/>
      <c r="J146" s="68"/>
      <c r="K146" s="68"/>
      <c r="L146" s="68"/>
    </row>
    <row r="147" customFormat="false" ht="15" hidden="false" customHeight="true" outlineLevel="1" collapsed="false">
      <c r="A147" s="68"/>
      <c r="B147" s="101" t="s">
        <v>363</v>
      </c>
      <c r="C147" s="99" t="n">
        <f aca="false">C132-C146</f>
        <v>0</v>
      </c>
      <c r="D147" s="99" t="n">
        <f aca="false">D132-D146</f>
        <v>0</v>
      </c>
      <c r="E147" s="99" t="n">
        <f aca="false">E132-E146</f>
        <v>0</v>
      </c>
      <c r="F147" s="99" t="n">
        <f aca="false">F132-F146</f>
        <v>0</v>
      </c>
      <c r="G147" s="99" t="n">
        <f aca="false">G132-G146</f>
        <v>0</v>
      </c>
      <c r="H147" s="91"/>
      <c r="I147" s="68"/>
      <c r="J147" s="68"/>
      <c r="K147" s="68"/>
      <c r="L147" s="68"/>
    </row>
    <row r="148" customFormat="false" ht="15" hidden="false" customHeight="true" outlineLevel="1" collapsed="false">
      <c r="A148" s="68"/>
      <c r="B148" s="6" t="s">
        <v>364</v>
      </c>
      <c r="C148" s="6"/>
      <c r="D148" s="6"/>
      <c r="E148" s="6"/>
      <c r="F148" s="6"/>
      <c r="G148" s="6"/>
      <c r="H148" s="6"/>
      <c r="I148" s="68"/>
      <c r="J148" s="68"/>
      <c r="K148" s="68"/>
      <c r="L148" s="68"/>
    </row>
    <row r="149" customFormat="false" ht="15" hidden="false" customHeight="true" outlineLevel="1" collapsed="false">
      <c r="A149" s="68"/>
      <c r="B149" s="74" t="s">
        <v>365</v>
      </c>
      <c r="C149" s="102" t="n">
        <f aca="false">C128/C136</f>
        <v>0.869821627529214</v>
      </c>
      <c r="D149" s="102" t="n">
        <f aca="false">D128/D136</f>
        <v>0.834313904147034</v>
      </c>
      <c r="E149" s="102" t="n">
        <f aca="false">E128/E136</f>
        <v>0.838383728069702</v>
      </c>
      <c r="F149" s="102" t="n">
        <f aca="false">F128/F136</f>
        <v>0.842473404791993</v>
      </c>
      <c r="G149" s="102" t="n">
        <f aca="false">G128/G136</f>
        <v>0.846583031156833</v>
      </c>
      <c r="H149" s="91"/>
      <c r="I149" s="68"/>
      <c r="J149" s="68"/>
      <c r="K149" s="68"/>
      <c r="L149" s="68"/>
    </row>
    <row r="150" customFormat="false" ht="15" hidden="false" customHeight="true" outlineLevel="1" collapsed="false">
      <c r="A150" s="68"/>
      <c r="B150" s="77" t="s">
        <v>366</v>
      </c>
      <c r="C150" s="102" t="n">
        <f aca="false">(C137+C138+C139)/C142</f>
        <v>0.221649025368693</v>
      </c>
      <c r="D150" s="102" t="n">
        <f aca="false">(D137+D138+D139)/D142</f>
        <v>0.226178664525964</v>
      </c>
      <c r="E150" s="102" t="n">
        <f aca="false">(E137+E138+E139)/E142</f>
        <v>0.223128048370756</v>
      </c>
      <c r="F150" s="102" t="n">
        <f aca="false">(F137+F138+F139)/F142</f>
        <v>0.220096862278314</v>
      </c>
      <c r="G150" s="102" t="n">
        <f aca="false">(G137+G138+G139)/G142</f>
        <v>0.217085451228677</v>
      </c>
      <c r="H150" s="91"/>
      <c r="I150" s="68"/>
      <c r="J150" s="68"/>
      <c r="K150" s="68"/>
      <c r="L150" s="68"/>
    </row>
    <row r="151" customFormat="false" ht="15" hidden="false" customHeight="true" outlineLevel="1" collapsed="false">
      <c r="A151" s="68"/>
      <c r="B151" s="77" t="s">
        <v>367</v>
      </c>
      <c r="C151" s="102" t="n">
        <f aca="false">(C136+C145)/C146</f>
        <v>0.432176621164195</v>
      </c>
      <c r="D151" s="102" t="n">
        <f aca="false">(D136+D145)/D146</f>
        <v>0.432418623685589</v>
      </c>
      <c r="E151" s="102" t="n">
        <f aca="false">(E136+E145)/E146</f>
        <v>0.437252909873306</v>
      </c>
      <c r="F151" s="102" t="n">
        <f aca="false">(F136+F145)/F146</f>
        <v>0.442080931435764</v>
      </c>
      <c r="G151" s="102" t="n">
        <f aca="false">(G136+G145)/G146</f>
        <v>0.446913330166361</v>
      </c>
      <c r="H151" s="91"/>
      <c r="I151" s="68"/>
      <c r="J151" s="68"/>
      <c r="K151" s="68"/>
      <c r="L151" s="68"/>
    </row>
    <row r="152" customFormat="false" ht="15" hidden="false" customHeight="true" outlineLevel="1" collapsed="false">
      <c r="A152" s="68"/>
      <c r="B152" s="103"/>
      <c r="C152" s="104"/>
      <c r="D152" s="104"/>
      <c r="E152" s="104"/>
      <c r="F152" s="104"/>
      <c r="G152" s="104"/>
      <c r="H152" s="93"/>
      <c r="I152" s="68"/>
      <c r="J152" s="68"/>
      <c r="K152" s="68"/>
      <c r="L152" s="68"/>
    </row>
    <row r="153" customFormat="false" ht="15" hidden="false" customHeight="true" outlineLevel="1" collapsed="false">
      <c r="A153" s="68"/>
      <c r="B153" s="103"/>
      <c r="C153" s="104"/>
      <c r="D153" s="104"/>
      <c r="E153" s="104"/>
      <c r="F153" s="104"/>
      <c r="G153" s="104"/>
      <c r="H153" s="93"/>
      <c r="I153" s="68"/>
      <c r="J153" s="68"/>
      <c r="K153" s="68"/>
      <c r="L153" s="68"/>
    </row>
    <row r="154" customFormat="false" ht="21" hidden="false" customHeight="true" outlineLevel="0" collapsed="false">
      <c r="A154" s="68"/>
      <c r="B154" s="105" t="s">
        <v>368</v>
      </c>
      <c r="C154" s="78"/>
      <c r="D154" s="78"/>
      <c r="E154" s="78"/>
      <c r="F154" s="78"/>
      <c r="G154" s="78"/>
      <c r="H154" s="78"/>
      <c r="I154" s="78"/>
      <c r="J154" s="78"/>
      <c r="K154" s="68"/>
      <c r="L154" s="68"/>
    </row>
    <row r="155" customFormat="false" ht="15" hidden="false" customHeight="true" outlineLevel="1" collapsed="false">
      <c r="A155" s="68"/>
      <c r="B155" s="106" t="s">
        <v>369</v>
      </c>
      <c r="C155" s="73" t="n">
        <v>0</v>
      </c>
      <c r="D155" s="107"/>
      <c r="E155" s="107"/>
      <c r="F155" s="107"/>
      <c r="G155" s="107"/>
      <c r="H155" s="108"/>
      <c r="I155" s="68"/>
      <c r="J155" s="68"/>
      <c r="K155" s="68"/>
      <c r="L155" s="68"/>
    </row>
    <row r="156" customFormat="false" ht="15" hidden="false" customHeight="true" outlineLevel="1" collapsed="false">
      <c r="A156" s="68"/>
      <c r="B156" s="74" t="s">
        <v>370</v>
      </c>
      <c r="C156" s="89" t="n">
        <v>0.25</v>
      </c>
      <c r="D156" s="88"/>
      <c r="E156" s="88"/>
      <c r="F156" s="88"/>
      <c r="G156" s="88"/>
      <c r="H156" s="91" t="s">
        <v>371</v>
      </c>
      <c r="I156" s="68"/>
      <c r="J156" s="68"/>
      <c r="K156" s="68"/>
      <c r="L156" s="68"/>
    </row>
    <row r="157" customFormat="false" ht="15" hidden="false" customHeight="true" outlineLevel="1" collapsed="false">
      <c r="A157" s="68"/>
      <c r="B157" s="88"/>
      <c r="C157" s="88"/>
      <c r="D157" s="88"/>
      <c r="E157" s="88"/>
      <c r="F157" s="88"/>
      <c r="G157" s="88"/>
      <c r="H157" s="90"/>
      <c r="I157" s="68"/>
      <c r="J157" s="68"/>
      <c r="K157" s="68"/>
      <c r="L157" s="68"/>
    </row>
    <row r="158" customFormat="false" ht="15" hidden="false" customHeight="true" outlineLevel="1" collapsed="false">
      <c r="A158" s="68"/>
      <c r="B158" s="109" t="s">
        <v>372</v>
      </c>
      <c r="C158" s="88"/>
      <c r="D158" s="88"/>
      <c r="E158" s="88"/>
      <c r="F158" s="88"/>
      <c r="G158" s="88"/>
      <c r="H158" s="90"/>
      <c r="I158" s="68"/>
      <c r="J158" s="68"/>
      <c r="K158" s="68"/>
      <c r="L158" s="68"/>
    </row>
    <row r="159" customFormat="false" ht="15" hidden="false" customHeight="true" outlineLevel="1" collapsed="false">
      <c r="A159" s="68"/>
      <c r="B159" s="109" t="s">
        <v>373</v>
      </c>
      <c r="C159" s="73" t="n">
        <v>0</v>
      </c>
      <c r="D159" s="68"/>
      <c r="E159" s="68"/>
      <c r="F159" s="68"/>
      <c r="G159" s="68"/>
      <c r="H159" s="91" t="s">
        <v>374</v>
      </c>
      <c r="I159" s="68"/>
      <c r="J159" s="68"/>
      <c r="K159" s="68"/>
      <c r="L159" s="68"/>
    </row>
    <row r="160" customFormat="false" ht="15" hidden="false" customHeight="true" outlineLevel="1" collapsed="false">
      <c r="A160" s="68"/>
      <c r="B160" s="109" t="s">
        <v>375</v>
      </c>
      <c r="C160" s="89" t="n">
        <v>0.9</v>
      </c>
      <c r="D160" s="68"/>
      <c r="E160" s="68"/>
      <c r="F160" s="68"/>
      <c r="G160" s="68"/>
      <c r="H160" s="91" t="s">
        <v>376</v>
      </c>
      <c r="I160" s="68"/>
      <c r="J160" s="68"/>
      <c r="K160" s="68"/>
      <c r="L160" s="68"/>
    </row>
    <row r="161" customFormat="false" ht="15" hidden="false" customHeight="true" outlineLevel="1" collapsed="false">
      <c r="A161" s="68"/>
      <c r="B161" s="109" t="s">
        <v>377</v>
      </c>
      <c r="C161" s="89" t="n">
        <v>0.02</v>
      </c>
      <c r="D161" s="68"/>
      <c r="E161" s="68"/>
      <c r="F161" s="68"/>
      <c r="G161" s="68"/>
      <c r="H161" s="91" t="s">
        <v>378</v>
      </c>
      <c r="I161" s="68"/>
      <c r="J161" s="68"/>
      <c r="K161" s="68"/>
      <c r="L161" s="68"/>
    </row>
    <row r="162" customFormat="false" ht="15" hidden="false" customHeight="true" outlineLevel="1" collapsed="false">
      <c r="A162" s="68"/>
      <c r="B162" s="109" t="s">
        <v>379</v>
      </c>
      <c r="C162" s="89" t="n">
        <v>0.03</v>
      </c>
      <c r="D162" s="68"/>
      <c r="E162" s="68"/>
      <c r="F162" s="68"/>
      <c r="G162" s="68"/>
      <c r="H162" s="91" t="s">
        <v>380</v>
      </c>
      <c r="I162" s="68"/>
      <c r="J162" s="68"/>
      <c r="K162" s="68"/>
      <c r="L162" s="68"/>
    </row>
    <row r="163" customFormat="false" ht="15" hidden="false" customHeight="true" outlineLevel="1" collapsed="false">
      <c r="A163" s="68"/>
      <c r="B163" s="109" t="s">
        <v>381</v>
      </c>
      <c r="C163" s="89" t="n">
        <v>0.02</v>
      </c>
      <c r="D163" s="68"/>
      <c r="E163" s="68"/>
      <c r="F163" s="68"/>
      <c r="G163" s="68"/>
      <c r="H163" s="91" t="s">
        <v>382</v>
      </c>
      <c r="I163" s="68"/>
      <c r="J163" s="68"/>
      <c r="K163" s="68"/>
      <c r="L163" s="68"/>
    </row>
    <row r="164" customFormat="false" ht="15" hidden="false" customHeight="true" outlineLevel="1" collapsed="false">
      <c r="A164" s="68"/>
      <c r="B164" s="109" t="s">
        <v>383</v>
      </c>
      <c r="C164" s="89" t="n">
        <v>0.02</v>
      </c>
      <c r="D164" s="68"/>
      <c r="E164" s="68"/>
      <c r="F164" s="68"/>
      <c r="G164" s="68"/>
      <c r="H164" s="91" t="s">
        <v>384</v>
      </c>
      <c r="I164" s="68"/>
      <c r="J164" s="68"/>
      <c r="K164" s="68"/>
      <c r="L164" s="68"/>
    </row>
    <row r="165" customFormat="false" ht="15" hidden="false" customHeight="true" outlineLevel="1" collapsed="false">
      <c r="A165" s="68"/>
      <c r="B165" s="109" t="s">
        <v>385</v>
      </c>
      <c r="C165" s="89" t="n">
        <v>0.01</v>
      </c>
      <c r="D165" s="68"/>
      <c r="E165" s="68"/>
      <c r="F165" s="68"/>
      <c r="G165" s="68"/>
      <c r="H165" s="91" t="s">
        <v>386</v>
      </c>
      <c r="I165" s="68"/>
      <c r="J165" s="68"/>
      <c r="K165" s="68"/>
      <c r="L165" s="68"/>
    </row>
    <row r="166" customFormat="false" ht="15" hidden="false" customHeight="true" outlineLevel="1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</row>
    <row r="167" customFormat="false" ht="21" hidden="false" customHeight="true" outlineLevel="1" collapsed="false">
      <c r="A167" s="68"/>
      <c r="B167" s="110" t="s">
        <v>387</v>
      </c>
      <c r="C167" s="105"/>
      <c r="D167" s="105"/>
      <c r="E167" s="105"/>
      <c r="F167" s="105"/>
      <c r="G167" s="105"/>
      <c r="H167" s="105"/>
      <c r="I167" s="105"/>
      <c r="J167" s="105"/>
      <c r="K167" s="68"/>
      <c r="L167" s="68"/>
    </row>
    <row r="168" customFormat="false" ht="15" hidden="false" customHeight="true" outlineLevel="1" collapsed="false">
      <c r="A168" s="68"/>
      <c r="B168" s="72" t="s">
        <v>388</v>
      </c>
      <c r="C168" s="89" t="n">
        <v>0.1</v>
      </c>
      <c r="D168" s="68"/>
      <c r="E168" s="68"/>
      <c r="F168" s="68"/>
      <c r="G168" s="68"/>
      <c r="H168" s="91" t="s">
        <v>389</v>
      </c>
      <c r="I168" s="68"/>
      <c r="J168" s="68"/>
      <c r="K168" s="68"/>
      <c r="L168" s="68"/>
    </row>
    <row r="169" customFormat="false" ht="15" hidden="false" customHeight="true" outlineLevel="1" collapsed="false">
      <c r="A169" s="68"/>
      <c r="B169" s="72" t="s">
        <v>390</v>
      </c>
      <c r="C169" s="89" t="n">
        <v>0.1</v>
      </c>
      <c r="D169" s="68"/>
      <c r="E169" s="68"/>
      <c r="F169" s="68"/>
      <c r="G169" s="68"/>
      <c r="H169" s="68"/>
      <c r="I169" s="68"/>
      <c r="J169" s="68"/>
      <c r="K169" s="68"/>
      <c r="L169" s="68"/>
    </row>
    <row r="170" customFormat="false" ht="15" hidden="false" customHeight="true" outlineLevel="1" collapsed="false">
      <c r="A170" s="68"/>
      <c r="B170" s="72" t="s">
        <v>391</v>
      </c>
      <c r="C170" s="89" t="n">
        <v>0.15</v>
      </c>
      <c r="D170" s="68"/>
      <c r="E170" s="68"/>
      <c r="F170" s="68"/>
      <c r="G170" s="68"/>
      <c r="H170" s="68"/>
      <c r="I170" s="68"/>
      <c r="J170" s="68"/>
      <c r="K170" s="68"/>
      <c r="L170" s="68"/>
    </row>
    <row r="171" customFormat="false" ht="15" hidden="false" customHeight="true" outlineLevel="1" collapsed="false">
      <c r="A171" s="68"/>
      <c r="B171" s="72" t="s">
        <v>392</v>
      </c>
      <c r="C171" s="89" t="n">
        <v>0.25</v>
      </c>
      <c r="D171" s="68"/>
      <c r="E171" s="68"/>
      <c r="F171" s="68"/>
      <c r="G171" s="68"/>
      <c r="H171" s="68"/>
      <c r="I171" s="68"/>
      <c r="J171" s="68"/>
      <c r="K171" s="68"/>
      <c r="L171" s="68"/>
    </row>
    <row r="172" customFormat="false" ht="15" hidden="false" customHeight="true" outlineLevel="1" collapsed="false">
      <c r="A172" s="68"/>
      <c r="B172" s="72" t="s">
        <v>393</v>
      </c>
      <c r="C172" s="89" t="n">
        <v>0.3</v>
      </c>
      <c r="D172" s="68"/>
      <c r="E172" s="68"/>
      <c r="F172" s="68"/>
      <c r="G172" s="68"/>
      <c r="H172" s="68"/>
      <c r="I172" s="68"/>
      <c r="J172" s="68"/>
      <c r="K172" s="68"/>
      <c r="L172" s="68"/>
    </row>
    <row r="173" customFormat="false" ht="15" hidden="false" customHeight="true" outlineLevel="1" collapsed="false">
      <c r="A173" s="68"/>
      <c r="B173" s="72" t="s">
        <v>394</v>
      </c>
      <c r="C173" s="89" t="n">
        <v>0.1</v>
      </c>
      <c r="D173" s="68"/>
      <c r="E173" s="68"/>
      <c r="F173" s="68"/>
      <c r="G173" s="68"/>
      <c r="H173" s="68"/>
      <c r="I173" s="68"/>
      <c r="J173" s="68"/>
      <c r="K173" s="68"/>
      <c r="L173" s="68"/>
    </row>
    <row r="174" customFormat="false" ht="15" hidden="false" customHeight="true" outlineLevel="1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</row>
    <row r="175" customFormat="false" ht="24" hidden="false" customHeight="true" outlineLevel="1" collapsed="false">
      <c r="A175" s="68"/>
      <c r="B175" s="109" t="s">
        <v>395</v>
      </c>
      <c r="C175" s="68"/>
      <c r="D175" s="68"/>
      <c r="E175" s="68"/>
      <c r="F175" s="68"/>
      <c r="G175" s="68"/>
      <c r="H175" s="68"/>
      <c r="I175" s="68"/>
      <c r="J175" s="68"/>
      <c r="K175" s="68"/>
      <c r="L175" s="68"/>
    </row>
    <row r="176" customFormat="false" ht="15" hidden="false" customHeight="true" outlineLevel="1" collapsed="false">
      <c r="A176" s="68"/>
      <c r="B176" s="109" t="s">
        <v>396</v>
      </c>
      <c r="C176" s="89" t="n">
        <v>0.003</v>
      </c>
      <c r="D176" s="68"/>
      <c r="E176" s="68"/>
      <c r="F176" s="68"/>
      <c r="G176" s="68"/>
      <c r="H176" s="91" t="s">
        <v>397</v>
      </c>
      <c r="I176" s="68"/>
      <c r="J176" s="68"/>
      <c r="K176" s="68"/>
      <c r="L176" s="68"/>
    </row>
    <row r="177" customFormat="false" ht="15" hidden="false" customHeight="true" outlineLevel="1" collapsed="false">
      <c r="A177" s="68"/>
      <c r="B177" s="109" t="s">
        <v>398</v>
      </c>
      <c r="C177" s="89" t="n">
        <v>0.125</v>
      </c>
      <c r="D177" s="68"/>
      <c r="E177" s="68"/>
      <c r="F177" s="68"/>
      <c r="G177" s="68"/>
      <c r="H177" s="68"/>
      <c r="I177" s="68"/>
      <c r="J177" s="68"/>
      <c r="K177" s="68"/>
      <c r="L177" s="68"/>
    </row>
    <row r="178" customFormat="false" ht="15" hidden="false" customHeight="true" outlineLevel="1" collapsed="false">
      <c r="A178" s="68"/>
      <c r="B178" s="109" t="s">
        <v>399</v>
      </c>
      <c r="C178" s="89" t="n">
        <v>0.375</v>
      </c>
      <c r="D178" s="68"/>
      <c r="E178" s="68"/>
      <c r="F178" s="68"/>
      <c r="G178" s="68"/>
      <c r="H178" s="68"/>
      <c r="I178" s="68"/>
      <c r="J178" s="68"/>
      <c r="K178" s="68"/>
      <c r="L178" s="68"/>
    </row>
    <row r="179" customFormat="false" ht="15" hidden="false" customHeight="true" outlineLevel="1" collapsed="false">
      <c r="A179" s="68"/>
      <c r="B179" s="109" t="s">
        <v>400</v>
      </c>
      <c r="C179" s="89" t="n">
        <v>0.75</v>
      </c>
      <c r="D179" s="68"/>
      <c r="E179" s="68"/>
      <c r="F179" s="68"/>
      <c r="G179" s="68"/>
      <c r="H179" s="68"/>
      <c r="I179" s="68"/>
      <c r="J179" s="68"/>
      <c r="K179" s="68"/>
      <c r="L179" s="68"/>
    </row>
    <row r="180" customFormat="false" ht="15" hidden="false" customHeight="true" outlineLevel="1" collapsed="false">
      <c r="A180" s="68"/>
      <c r="B180" s="109" t="s">
        <v>401</v>
      </c>
      <c r="C180" s="73" t="n">
        <v>1.5</v>
      </c>
      <c r="D180" s="68"/>
      <c r="E180" s="68"/>
      <c r="F180" s="68"/>
      <c r="G180" s="68"/>
      <c r="H180" s="68"/>
      <c r="I180" s="68"/>
      <c r="J180" s="68"/>
      <c r="K180" s="68"/>
      <c r="L180" s="68"/>
    </row>
    <row r="181" customFormat="false" ht="15" hidden="false" customHeight="true" outlineLevel="1" collapsed="false">
      <c r="A181" s="68"/>
      <c r="B181" s="109" t="s">
        <v>402</v>
      </c>
      <c r="C181" s="73" t="n">
        <v>3.5</v>
      </c>
      <c r="D181" s="68"/>
      <c r="E181" s="68"/>
      <c r="F181" s="68"/>
      <c r="G181" s="68"/>
      <c r="H181" s="68"/>
      <c r="I181" s="68"/>
      <c r="J181" s="68"/>
      <c r="K181" s="68"/>
      <c r="L181" s="68"/>
    </row>
    <row r="182" customFormat="false" ht="15" hidden="false" customHeight="true" outlineLevel="1" collapsed="false">
      <c r="A182" s="68"/>
      <c r="B182" s="109" t="s">
        <v>403</v>
      </c>
      <c r="C182" s="73" t="n">
        <v>7</v>
      </c>
      <c r="D182" s="68"/>
      <c r="E182" s="68"/>
      <c r="F182" s="68"/>
      <c r="G182" s="68"/>
      <c r="H182" s="68"/>
      <c r="I182" s="68"/>
      <c r="J182" s="68"/>
      <c r="K182" s="68"/>
      <c r="L182" s="68"/>
    </row>
    <row r="183" customFormat="false" ht="15" hidden="false" customHeight="true" outlineLevel="1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</row>
    <row r="184" customFormat="false" ht="15" hidden="false" customHeight="true" outlineLevel="1" collapsed="false">
      <c r="A184" s="68"/>
      <c r="B184" s="72" t="s">
        <v>404</v>
      </c>
      <c r="C184" s="89" t="n">
        <v>0.85</v>
      </c>
      <c r="D184" s="68"/>
      <c r="E184" s="68"/>
      <c r="F184" s="68"/>
      <c r="G184" s="68"/>
      <c r="H184" s="91" t="s">
        <v>405</v>
      </c>
      <c r="I184" s="68"/>
      <c r="J184" s="68"/>
      <c r="K184" s="68"/>
      <c r="L184" s="68"/>
    </row>
    <row r="185" customFormat="false" ht="15" hidden="false" customHeight="true" outlineLevel="1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</row>
    <row r="186" customFormat="false" ht="24" hidden="false" customHeight="true" outlineLevel="1" collapsed="false">
      <c r="A186" s="68"/>
      <c r="B186" s="72" t="s">
        <v>406</v>
      </c>
      <c r="C186" s="89" t="n">
        <v>0.15</v>
      </c>
      <c r="D186" s="68"/>
      <c r="E186" s="68"/>
      <c r="F186" s="68"/>
      <c r="G186" s="68"/>
      <c r="H186" s="91" t="s">
        <v>407</v>
      </c>
      <c r="I186" s="68"/>
      <c r="J186" s="68"/>
      <c r="K186" s="68"/>
      <c r="L186" s="68"/>
    </row>
    <row r="187" customFormat="false" ht="15" hidden="false" customHeight="true" outlineLevel="1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</row>
    <row r="188" customFormat="false" ht="15" hidden="false" customHeight="true" outlineLevel="1" collapsed="false">
      <c r="A188" s="68"/>
      <c r="B188" s="72" t="s">
        <v>408</v>
      </c>
      <c r="C188" s="89" t="n">
        <v>0.75</v>
      </c>
      <c r="D188" s="68"/>
      <c r="E188" s="68"/>
      <c r="F188" s="68"/>
      <c r="G188" s="68"/>
      <c r="H188" s="91" t="s">
        <v>409</v>
      </c>
      <c r="I188" s="68"/>
      <c r="J188" s="68"/>
      <c r="K188" s="68"/>
      <c r="L188" s="68"/>
    </row>
    <row r="189" customFormat="false" ht="15" hidden="false" customHeight="true" outlineLevel="1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</row>
    <row r="190" customFormat="false" ht="15" hidden="false" customHeight="true" outlineLevel="1" collapsed="false">
      <c r="A190" s="68"/>
      <c r="B190" s="72" t="s">
        <v>410</v>
      </c>
      <c r="C190" s="89" t="n">
        <v>0.15</v>
      </c>
      <c r="D190" s="68"/>
      <c r="E190" s="68"/>
      <c r="F190" s="68"/>
      <c r="G190" s="68"/>
      <c r="H190" s="91" t="s">
        <v>411</v>
      </c>
      <c r="I190" s="68"/>
      <c r="J190" s="68"/>
      <c r="K190" s="68"/>
      <c r="L190" s="68"/>
    </row>
    <row r="191" customFormat="false" ht="15" hidden="false" customHeight="true" outlineLevel="1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</row>
    <row r="192" customFormat="false" ht="24" hidden="false" customHeight="true" outlineLevel="1" collapsed="false">
      <c r="A192" s="68"/>
      <c r="B192" s="109" t="s">
        <v>412</v>
      </c>
      <c r="C192" s="68"/>
      <c r="D192" s="68"/>
      <c r="E192" s="68"/>
      <c r="F192" s="68"/>
      <c r="G192" s="68"/>
      <c r="H192" s="91" t="s">
        <v>413</v>
      </c>
      <c r="I192" s="68"/>
      <c r="J192" s="68"/>
      <c r="K192" s="68"/>
      <c r="L192" s="68"/>
    </row>
    <row r="193" customFormat="false" ht="15" hidden="false" customHeight="true" outlineLevel="1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</row>
    <row r="194" customFormat="false" ht="21" hidden="false" customHeight="true" outlineLevel="0" collapsed="false">
      <c r="A194" s="68"/>
      <c r="B194" s="111" t="s">
        <v>414</v>
      </c>
      <c r="C194" s="78"/>
      <c r="D194" s="78"/>
      <c r="E194" s="78"/>
      <c r="F194" s="78"/>
      <c r="G194" s="78"/>
      <c r="H194" s="78"/>
      <c r="I194" s="78"/>
      <c r="J194" s="78"/>
      <c r="K194" s="78"/>
      <c r="L194" s="78"/>
    </row>
    <row r="195" customFormat="false" ht="15" hidden="false" customHeight="true" outlineLevel="1" collapsed="false">
      <c r="A195" s="68"/>
      <c r="B195" s="72" t="s">
        <v>415</v>
      </c>
      <c r="C195" s="99" t="n">
        <f aca="false">(E126*E14)+(E128*(D116+$C$24*((E15+C7)-D15)))+(E129*((E15+C7)+E27))+(E130*((E17+C7)+E26))-(E136*MAX(0,D117+F7*((E14+C7)-D14)))-(E137*((E15+C7)+E27))-(E138*((E14+C7)+E28))-(E139*((E17+C7)+E29))-(E140*E30)</f>
        <v>22685.668548311</v>
      </c>
      <c r="D195" s="68"/>
      <c r="E195" s="68"/>
      <c r="F195" s="68"/>
      <c r="G195" s="68"/>
      <c r="H195" s="68"/>
      <c r="I195" s="68"/>
      <c r="J195" s="68"/>
      <c r="K195" s="68"/>
      <c r="L195" s="68"/>
    </row>
    <row r="196" customFormat="false" ht="15" hidden="false" customHeight="true" outlineLevel="1" collapsed="false">
      <c r="A196" s="68"/>
      <c r="B196" s="72" t="s">
        <v>416</v>
      </c>
      <c r="C196" s="99" t="n">
        <f aca="false">(E126*E14)+(E128*(D116+$C$24*((E15+C8)-D15)))+(E129*((E15+C8)+E27))+(E130*((E17+C8)+E26))-(E136*MAX(0,D117+F8*((E14+C8)-D14)))-(E137*((E15+C8)+E27))-(E138*((E14+C8)+E28))-(E139*((E17+C8)+E29))-(E140*E30)</f>
        <v>20216.592343311</v>
      </c>
      <c r="D196" s="68"/>
      <c r="E196" s="68"/>
      <c r="F196" s="68"/>
      <c r="G196" s="68"/>
      <c r="H196" s="68"/>
      <c r="I196" s="68"/>
      <c r="J196" s="68"/>
      <c r="K196" s="68"/>
      <c r="L196" s="68"/>
    </row>
    <row r="197" customFormat="false" ht="15" hidden="false" customHeight="true" outlineLevel="1" collapsed="false">
      <c r="A197" s="68"/>
      <c r="B197" s="72" t="s">
        <v>417</v>
      </c>
      <c r="C197" s="99" t="n">
        <f aca="false">(E126*E14)+(E128*(D116+$C$24*((E15+C9)-D15)))+(E129*((E15+C9)+E27))+(E130*((E17+C9)+E26))-(E136*MAX(0,D117+F9*((E14+C9)-D14)))-(E137*((E15+C9)+E27))-(E138*((E14+C9)+E28))-(E139*((E17+C9)+E29))-(E140*E30)</f>
        <v>18815.639428311</v>
      </c>
      <c r="D197" s="68"/>
      <c r="E197" s="68"/>
      <c r="F197" s="68"/>
      <c r="G197" s="68"/>
      <c r="H197" s="68"/>
      <c r="I197" s="68"/>
      <c r="J197" s="68"/>
      <c r="K197" s="68"/>
      <c r="L197" s="68"/>
    </row>
    <row r="198" customFormat="false" ht="15" hidden="false" customHeight="true" outlineLevel="1" collapsed="false">
      <c r="A198" s="68"/>
      <c r="B198" s="72" t="s">
        <v>418</v>
      </c>
      <c r="C198" s="99" t="n">
        <f aca="false">(E126*E14)+(E128*(D116+$C$24*((E15+C10)-D15)))+(E129*((E15+C10)+E27))+(E130*((E17+C10)+E26))-(E136*MAX(0,D117+F10*((E14+C10)-D14)))-(E137*((E15+C10)+E27))-(E138*((E14+C10)+E28))-(E139*((E17+C10)+E29))-(E140*E30)</f>
        <v>15812.501578311</v>
      </c>
      <c r="D198" s="68"/>
      <c r="E198" s="68"/>
      <c r="F198" s="68"/>
      <c r="G198" s="68"/>
      <c r="H198" s="68"/>
      <c r="I198" s="68"/>
      <c r="J198" s="68"/>
      <c r="K198" s="68"/>
      <c r="L198" s="68"/>
    </row>
    <row r="199" customFormat="false" ht="15" hidden="false" customHeight="true" outlineLevel="1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</row>
    <row r="200" customFormat="false" ht="15" hidden="false" customHeight="true" outlineLevel="1" collapsed="false">
      <c r="A200" s="68"/>
      <c r="B200" s="72" t="s">
        <v>419</v>
      </c>
      <c r="C200" s="84" t="n">
        <f aca="false">C195/((D126+D128+D129+D130+E126+E128+E129+E130)/2)</f>
        <v>0.017379543720732</v>
      </c>
      <c r="D200" s="68"/>
      <c r="E200" s="68"/>
      <c r="F200" s="68"/>
      <c r="G200" s="68"/>
      <c r="H200" s="68"/>
      <c r="I200" s="68"/>
      <c r="J200" s="68"/>
      <c r="K200" s="68"/>
      <c r="L200" s="68"/>
    </row>
    <row r="201" customFormat="false" ht="15" hidden="false" customHeight="true" outlineLevel="1" collapsed="false">
      <c r="A201" s="68"/>
      <c r="B201" s="72" t="s">
        <v>420</v>
      </c>
      <c r="C201" s="84" t="n">
        <f aca="false">C196/((D126+D128+D129+D130+E126+E128+E129+E130)/2)</f>
        <v>0.0154879786666436</v>
      </c>
      <c r="D201" s="68"/>
      <c r="E201" s="68"/>
      <c r="F201" s="68"/>
      <c r="G201" s="68"/>
      <c r="H201" s="68"/>
      <c r="I201" s="68"/>
      <c r="J201" s="68"/>
      <c r="K201" s="68"/>
      <c r="L201" s="68"/>
    </row>
    <row r="202" customFormat="false" ht="15" hidden="false" customHeight="true" outlineLevel="1" collapsed="false">
      <c r="A202" s="68"/>
      <c r="B202" s="72" t="s">
        <v>421</v>
      </c>
      <c r="C202" s="84" t="n">
        <f aca="false">C197/((D126+D128+D129+D130+E126+E128+E129+E130)/2)</f>
        <v>0.0144147053626156</v>
      </c>
      <c r="D202" s="68"/>
      <c r="E202" s="68"/>
      <c r="F202" s="68"/>
      <c r="G202" s="68"/>
      <c r="H202" s="68"/>
      <c r="I202" s="68"/>
      <c r="J202" s="68"/>
      <c r="K202" s="68"/>
      <c r="L202" s="68"/>
    </row>
    <row r="203" customFormat="false" ht="15" hidden="false" customHeight="true" outlineLevel="1" collapsed="false">
      <c r="A203" s="68"/>
      <c r="B203" s="72" t="s">
        <v>422</v>
      </c>
      <c r="C203" s="84" t="n">
        <f aca="false">C198/((D126+D128+D129+D130+E126+E128+E129+E130)/2)</f>
        <v>0.0121139944334971</v>
      </c>
      <c r="D203" s="68"/>
      <c r="E203" s="68"/>
      <c r="F203" s="68"/>
      <c r="G203" s="68"/>
      <c r="H203" s="68"/>
      <c r="I203" s="68"/>
      <c r="J203" s="68"/>
      <c r="K203" s="68"/>
      <c r="L203" s="68"/>
    </row>
    <row r="204" customFormat="false" ht="15" hidden="false" customHeight="true" outlineLevel="1" collapsed="false">
      <c r="A204" s="68"/>
      <c r="B204" s="68"/>
      <c r="C204" s="112"/>
      <c r="D204" s="68"/>
      <c r="E204" s="68"/>
      <c r="F204" s="68"/>
      <c r="G204" s="68"/>
      <c r="H204" s="68"/>
      <c r="I204" s="68"/>
      <c r="J204" s="68"/>
      <c r="K204" s="68"/>
      <c r="L204" s="68"/>
    </row>
    <row r="205" customFormat="false" ht="15" hidden="false" customHeight="true" outlineLevel="1" collapsed="false">
      <c r="A205" s="68"/>
      <c r="B205" s="72" t="s">
        <v>423</v>
      </c>
      <c r="C205" s="84" t="n">
        <f aca="false">D116+$C$24*((E15+C7)-D15)</f>
        <v>0.03575</v>
      </c>
      <c r="D205" s="68"/>
      <c r="E205" s="68"/>
      <c r="F205" s="68"/>
      <c r="G205" s="68"/>
      <c r="H205" s="68"/>
      <c r="I205" s="68"/>
      <c r="J205" s="68"/>
      <c r="K205" s="68"/>
      <c r="L205" s="68"/>
    </row>
    <row r="206" customFormat="false" ht="15" hidden="false" customHeight="true" outlineLevel="1" collapsed="false">
      <c r="A206" s="68"/>
      <c r="B206" s="72" t="s">
        <v>424</v>
      </c>
      <c r="C206" s="84" t="n">
        <f aca="false">D116+$C$24*((E15+C8)-D15)</f>
        <v>0.05375</v>
      </c>
      <c r="D206" s="68"/>
      <c r="E206" s="68"/>
      <c r="F206" s="68"/>
      <c r="G206" s="68"/>
      <c r="H206" s="68"/>
      <c r="I206" s="68"/>
      <c r="J206" s="68"/>
      <c r="K206" s="68"/>
      <c r="L206" s="68"/>
    </row>
    <row r="207" customFormat="false" ht="15" hidden="false" customHeight="true" outlineLevel="1" collapsed="false">
      <c r="A207" s="68"/>
      <c r="B207" s="72" t="s">
        <v>425</v>
      </c>
      <c r="C207" s="84" t="n">
        <f aca="false">D116+$C$24*((E15+C9)-D15)</f>
        <v>0.01775</v>
      </c>
      <c r="D207" s="68"/>
      <c r="E207" s="68"/>
      <c r="F207" s="68"/>
      <c r="G207" s="68"/>
      <c r="H207" s="68"/>
      <c r="I207" s="68"/>
      <c r="J207" s="68"/>
      <c r="K207" s="68"/>
      <c r="L207" s="68"/>
    </row>
    <row r="208" customFormat="false" ht="15" hidden="false" customHeight="true" outlineLevel="1" collapsed="false">
      <c r="A208" s="68"/>
      <c r="B208" s="72" t="s">
        <v>426</v>
      </c>
      <c r="C208" s="84" t="n">
        <f aca="false">D116+$C$24*((E15+C10)-D15)</f>
        <v>0.06275</v>
      </c>
      <c r="D208" s="68"/>
      <c r="E208" s="68"/>
      <c r="F208" s="68"/>
      <c r="G208" s="68"/>
      <c r="H208" s="68"/>
      <c r="I208" s="68"/>
      <c r="J208" s="68"/>
      <c r="K208" s="68"/>
      <c r="L208" s="68"/>
    </row>
    <row r="209" customFormat="false" ht="15" hidden="false" customHeight="true" outlineLevel="1" collapsed="false">
      <c r="A209" s="68"/>
      <c r="B209" s="68"/>
      <c r="C209" s="112"/>
      <c r="D209" s="68"/>
      <c r="E209" s="68"/>
      <c r="F209" s="68"/>
      <c r="G209" s="68"/>
      <c r="H209" s="68"/>
      <c r="I209" s="68"/>
      <c r="J209" s="68"/>
      <c r="K209" s="68"/>
      <c r="L209" s="68"/>
    </row>
    <row r="210" customFormat="false" ht="15" hidden="false" customHeight="true" outlineLevel="1" collapsed="false">
      <c r="A210" s="68"/>
      <c r="B210" s="72" t="s">
        <v>427</v>
      </c>
      <c r="C210" s="84" t="n">
        <f aca="false">MAX(0,D117+F7*((E14+C7)-D14))</f>
        <v>0.004</v>
      </c>
      <c r="D210" s="68"/>
      <c r="E210" s="68"/>
      <c r="F210" s="68"/>
      <c r="G210" s="68"/>
      <c r="H210" s="68"/>
      <c r="I210" s="68"/>
      <c r="J210" s="68"/>
      <c r="K210" s="68"/>
      <c r="L210" s="68"/>
    </row>
    <row r="211" customFormat="false" ht="15" hidden="false" customHeight="true" outlineLevel="1" collapsed="false">
      <c r="A211" s="68"/>
      <c r="B211" s="72" t="s">
        <v>428</v>
      </c>
      <c r="C211" s="84" t="n">
        <f aca="false">MAX(0,D117+F8*((E14+C8)-D14))</f>
        <v>0.01375</v>
      </c>
      <c r="D211" s="68"/>
      <c r="E211" s="68"/>
      <c r="F211" s="68"/>
      <c r="G211" s="68"/>
      <c r="H211" s="68"/>
      <c r="I211" s="68"/>
      <c r="J211" s="68"/>
      <c r="K211" s="68"/>
      <c r="L211" s="68"/>
    </row>
    <row r="212" customFormat="false" ht="15" hidden="false" customHeight="true" outlineLevel="1" collapsed="false">
      <c r="A212" s="68"/>
      <c r="B212" s="72" t="s">
        <v>429</v>
      </c>
      <c r="C212" s="84" t="n">
        <f aca="false">MAX(0,D117+F9*((E14+C9)-D14))</f>
        <v>0</v>
      </c>
      <c r="D212" s="68"/>
      <c r="E212" s="68"/>
      <c r="F212" s="68"/>
      <c r="G212" s="68"/>
      <c r="H212" s="68"/>
      <c r="I212" s="68"/>
      <c r="J212" s="68"/>
      <c r="K212" s="68"/>
      <c r="L212" s="68"/>
    </row>
    <row r="213" customFormat="false" ht="15" hidden="false" customHeight="true" outlineLevel="1" collapsed="false">
      <c r="A213" s="68"/>
      <c r="B213" s="72" t="s">
        <v>430</v>
      </c>
      <c r="C213" s="84" t="n">
        <f aca="false">MAX(0,D117+F10*((E14+C10)-D14))</f>
        <v>0.0215</v>
      </c>
      <c r="D213" s="68"/>
      <c r="E213" s="68"/>
      <c r="F213" s="68"/>
      <c r="G213" s="68"/>
      <c r="H213" s="68"/>
      <c r="I213" s="68"/>
      <c r="J213" s="68"/>
      <c r="K213" s="68"/>
      <c r="L213" s="68"/>
    </row>
    <row r="214" customFormat="false" ht="15" hidden="false" customHeight="true" outlineLevel="1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</row>
    <row r="215" customFormat="false" ht="15" hidden="false" customHeight="true" outlineLevel="1" collapsed="false">
      <c r="A215" s="68"/>
      <c r="B215" s="72" t="s">
        <v>431</v>
      </c>
      <c r="C215" s="99" t="n">
        <f aca="false">((C195+E132*$C$40)*(1-H7)-(E128*G7/10000))*(1-$C$156)</f>
        <v>11193.5414789975</v>
      </c>
      <c r="D215" s="68"/>
      <c r="E215" s="68"/>
      <c r="F215" s="68"/>
      <c r="G215" s="68"/>
      <c r="H215" s="68"/>
      <c r="I215" s="68"/>
      <c r="J215" s="68"/>
      <c r="K215" s="68"/>
      <c r="L215" s="68"/>
    </row>
    <row r="216" customFormat="false" ht="15" hidden="false" customHeight="true" outlineLevel="1" collapsed="false">
      <c r="A216" s="68"/>
      <c r="B216" s="72" t="s">
        <v>432</v>
      </c>
      <c r="C216" s="99" t="n">
        <f aca="false">((C196+E132*$C$40)*(1-H8)-(E128*G8/10000))*(1-$C$156)</f>
        <v>9821.59556470213</v>
      </c>
      <c r="D216" s="68"/>
      <c r="E216" s="68"/>
      <c r="F216" s="68"/>
      <c r="G216" s="68"/>
      <c r="H216" s="68"/>
      <c r="I216" s="68"/>
      <c r="J216" s="68"/>
      <c r="K216" s="68"/>
      <c r="L216" s="68"/>
    </row>
    <row r="217" customFormat="false" ht="15" hidden="false" customHeight="true" outlineLevel="1" collapsed="false">
      <c r="A217" s="68"/>
      <c r="B217" s="72" t="s">
        <v>433</v>
      </c>
      <c r="C217" s="99" t="n">
        <f aca="false">((C197+E132*$C$40)*(1-H9)-(E128*G9/10000))*(1-$C$156)</f>
        <v>10748.3352288053</v>
      </c>
      <c r="D217" s="68"/>
      <c r="E217" s="68"/>
      <c r="F217" s="68"/>
      <c r="G217" s="68"/>
      <c r="H217" s="68"/>
      <c r="I217" s="68"/>
      <c r="J217" s="68"/>
      <c r="K217" s="68"/>
      <c r="L217" s="68"/>
    </row>
    <row r="218" customFormat="false" ht="15" hidden="false" customHeight="true" outlineLevel="1" collapsed="false">
      <c r="A218" s="68"/>
      <c r="B218" s="72" t="s">
        <v>434</v>
      </c>
      <c r="C218" s="99" t="n">
        <f aca="false">((C198+E132*$C$40)*(1-H10)-(E128*G10/10000))*(1-$C$156)</f>
        <v>5942.58523714898</v>
      </c>
      <c r="D218" s="68"/>
      <c r="E218" s="68"/>
      <c r="F218" s="68"/>
      <c r="G218" s="68"/>
      <c r="H218" s="68"/>
      <c r="I218" s="68"/>
      <c r="J218" s="68"/>
      <c r="K218" s="68"/>
      <c r="L218" s="68"/>
    </row>
    <row r="220" customFormat="false" ht="15" hidden="false" customHeight="true" outlineLevel="0" collapsed="false">
      <c r="B220" s="111" t="s">
        <v>435</v>
      </c>
    </row>
    <row r="221" customFormat="false" ht="15" hidden="false" customHeight="true" outlineLevel="1" collapsed="false">
      <c r="B221" s="72" t="s">
        <v>436</v>
      </c>
      <c r="C221" s="99" t="n">
        <f aca="false">C215*(1-$C$41)</f>
        <v>4477.41659159898</v>
      </c>
    </row>
    <row r="222" customFormat="false" ht="15" hidden="false" customHeight="true" outlineLevel="1" collapsed="false">
      <c r="B222" s="72" t="s">
        <v>437</v>
      </c>
      <c r="C222" s="99" t="n">
        <f aca="false">C216*(1-$C$41)</f>
        <v>3928.63822588085</v>
      </c>
    </row>
    <row r="223" customFormat="false" ht="15" hidden="false" customHeight="true" outlineLevel="1" collapsed="false">
      <c r="B223" s="72" t="s">
        <v>438</v>
      </c>
      <c r="C223" s="99" t="n">
        <f aca="false">C217*(1-$C$41)</f>
        <v>4299.33409152212</v>
      </c>
    </row>
    <row r="224" customFormat="false" ht="15" hidden="false" customHeight="true" outlineLevel="1" collapsed="false">
      <c r="B224" s="72" t="s">
        <v>439</v>
      </c>
      <c r="C224" s="99" t="n">
        <f aca="false">C218*(1-$C$41)</f>
        <v>2377.03409485959</v>
      </c>
    </row>
    <row r="225" customFormat="false" ht="15" hidden="false" customHeight="true" outlineLevel="1" collapsed="false"/>
    <row r="226" customFormat="false" ht="15" hidden="false" customHeight="true" outlineLevel="1" collapsed="false">
      <c r="B226" s="72" t="s">
        <v>440</v>
      </c>
      <c r="C226" s="99" t="n">
        <f aca="false">D145+C221</f>
        <v>136650.416591599</v>
      </c>
    </row>
    <row r="227" customFormat="false" ht="15" hidden="false" customHeight="true" outlineLevel="1" collapsed="false">
      <c r="B227" s="72" t="s">
        <v>441</v>
      </c>
      <c r="C227" s="99" t="n">
        <f aca="false">D145+C222</f>
        <v>136101.638225881</v>
      </c>
    </row>
    <row r="228" customFormat="false" ht="15" hidden="false" customHeight="true" outlineLevel="1" collapsed="false">
      <c r="B228" s="72" t="s">
        <v>442</v>
      </c>
      <c r="C228" s="99" t="n">
        <f aca="false">D145+C223</f>
        <v>136472.334091522</v>
      </c>
    </row>
    <row r="229" customFormat="false" ht="15" hidden="false" customHeight="true" outlineLevel="1" collapsed="false">
      <c r="B229" s="72" t="s">
        <v>443</v>
      </c>
      <c r="C229" s="99" t="n">
        <f aca="false">D145+C224</f>
        <v>134550.03409486</v>
      </c>
    </row>
    <row r="230" customFormat="false" ht="15" hidden="false" customHeight="true" outlineLevel="1" collapsed="false"/>
    <row r="231" customFormat="false" ht="15" hidden="false" customHeight="true" outlineLevel="1" collapsed="false">
      <c r="B231" s="72" t="s">
        <v>444</v>
      </c>
      <c r="C231" s="99" t="n">
        <f aca="false">D128*(1+D7)</f>
        <v>924278.74</v>
      </c>
    </row>
    <row r="232" customFormat="false" ht="15" hidden="false" customHeight="true" outlineLevel="1" collapsed="false">
      <c r="B232" s="72" t="s">
        <v>445</v>
      </c>
      <c r="C232" s="99" t="n">
        <f aca="false">D128*(1+D8)</f>
        <v>915305.16</v>
      </c>
    </row>
    <row r="233" customFormat="false" ht="15" hidden="false" customHeight="true" outlineLevel="1" collapsed="false">
      <c r="B233" s="72" t="s">
        <v>446</v>
      </c>
      <c r="C233" s="99" t="n">
        <f aca="false">D128*(1+D9)</f>
        <v>933252.32</v>
      </c>
    </row>
    <row r="234" customFormat="false" ht="15" hidden="false" customHeight="true" outlineLevel="1" collapsed="false">
      <c r="B234" s="72" t="s">
        <v>447</v>
      </c>
      <c r="C234" s="99" t="n">
        <f aca="false">D128*(1+D10)</f>
        <v>906331.58</v>
      </c>
    </row>
    <row r="235" customFormat="false" ht="15" hidden="false" customHeight="true" outlineLevel="1" collapsed="false"/>
    <row r="236" customFormat="false" ht="15" hidden="false" customHeight="true" outlineLevel="1" collapsed="false">
      <c r="B236" s="72" t="s">
        <v>448</v>
      </c>
      <c r="C236" s="99" t="n">
        <f aca="false">D127*(1+CHOOSE(1,0,0.02,-0.02,-0.05))</f>
        <v>870245</v>
      </c>
    </row>
    <row r="237" customFormat="false" ht="15" hidden="false" customHeight="true" outlineLevel="1" collapsed="false">
      <c r="B237" s="72" t="s">
        <v>449</v>
      </c>
      <c r="C237" s="99" t="n">
        <f aca="false">D127*(1+CHOOSE(2,0,0.02,-0.02,-0.05))</f>
        <v>887649.9</v>
      </c>
    </row>
    <row r="238" customFormat="false" ht="15" hidden="false" customHeight="true" outlineLevel="1" collapsed="false">
      <c r="B238" s="72" t="s">
        <v>450</v>
      </c>
      <c r="C238" s="99" t="n">
        <f aca="false">D127*(1+CHOOSE(3,0,0.02,-0.02,-0.05))</f>
        <v>852840.1</v>
      </c>
    </row>
    <row r="239" customFormat="false" ht="15" hidden="false" customHeight="true" outlineLevel="1" collapsed="false">
      <c r="B239" s="72" t="s">
        <v>451</v>
      </c>
      <c r="C239" s="99" t="n">
        <f aca="false">D127*(1+CHOOSE(4,0,0.02,-0.02,-0.05))</f>
        <v>826732.75</v>
      </c>
    </row>
    <row r="240" customFormat="false" ht="15" hidden="false" customHeight="true" outlineLevel="1" collapsed="false"/>
    <row r="241" customFormat="false" ht="15" hidden="false" customHeight="true" outlineLevel="1" collapsed="false">
      <c r="B241" s="72" t="s">
        <v>452</v>
      </c>
      <c r="C241" s="99" t="n">
        <f aca="false">D130*(1+D7)</f>
        <v>157700.21</v>
      </c>
    </row>
    <row r="242" customFormat="false" ht="15" hidden="false" customHeight="true" outlineLevel="1" collapsed="false">
      <c r="B242" s="72" t="s">
        <v>453</v>
      </c>
      <c r="C242" s="99" t="n">
        <f aca="false">D130*(1+D8)</f>
        <v>156169.14</v>
      </c>
    </row>
    <row r="243" customFormat="false" ht="15" hidden="false" customHeight="true" outlineLevel="1" collapsed="false">
      <c r="B243" s="72" t="s">
        <v>454</v>
      </c>
      <c r="C243" s="99" t="n">
        <f aca="false">D130*(1+D9)</f>
        <v>159231.28</v>
      </c>
    </row>
    <row r="244" customFormat="false" ht="15" hidden="false" customHeight="true" outlineLevel="1" collapsed="false">
      <c r="B244" s="72" t="s">
        <v>455</v>
      </c>
      <c r="C244" s="99" t="n">
        <f aca="false">D130*(1+D10)</f>
        <v>154638.07</v>
      </c>
    </row>
    <row r="245" customFormat="false" ht="15" hidden="false" customHeight="true" outlineLevel="1" collapsed="false"/>
    <row r="246" customFormat="false" ht="15" hidden="false" customHeight="true" outlineLevel="1" collapsed="false">
      <c r="B246" s="72" t="s">
        <v>456</v>
      </c>
      <c r="C246" s="99" t="n">
        <f aca="false">C231*0.75+C241*0.2+D129*0.2+C236*$C$190</f>
        <v>860537.647</v>
      </c>
    </row>
    <row r="247" customFormat="false" ht="15" hidden="false" customHeight="true" outlineLevel="1" collapsed="false">
      <c r="B247" s="72" t="s">
        <v>457</v>
      </c>
      <c r="C247" s="99" t="n">
        <f aca="false">C232*0.75+C242*0.2+D129*0.2+C237*$C$190</f>
        <v>856111.983</v>
      </c>
    </row>
    <row r="248" customFormat="false" ht="15" hidden="false" customHeight="true" outlineLevel="1" collapsed="false">
      <c r="B248" s="72" t="s">
        <v>458</v>
      </c>
      <c r="C248" s="99" t="n">
        <f aca="false">C233*0.75+C243*0.2+D129*0.2+C238*$C$190</f>
        <v>864963.311</v>
      </c>
    </row>
    <row r="249" customFormat="false" ht="15" hidden="false" customHeight="true" outlineLevel="1" collapsed="false">
      <c r="B249" s="72" t="s">
        <v>459</v>
      </c>
      <c r="C249" s="99" t="n">
        <f aca="false">C234*0.75+C244*0.2+D129*0.2+C239*$C$190</f>
        <v>839938.0115</v>
      </c>
    </row>
    <row r="250" customFormat="false" ht="15" hidden="false" customHeight="true" outlineLevel="1" collapsed="false"/>
    <row r="251" customFormat="false" ht="15" hidden="false" customHeight="true" outlineLevel="1" collapsed="false">
      <c r="B251" s="72" t="s">
        <v>460</v>
      </c>
      <c r="C251" s="84" t="n">
        <f aca="false">C226/C246</f>
        <v>0.158796558254004</v>
      </c>
    </row>
    <row r="252" customFormat="false" ht="15" hidden="false" customHeight="true" outlineLevel="1" collapsed="false">
      <c r="B252" s="72" t="s">
        <v>461</v>
      </c>
      <c r="C252" s="84" t="n">
        <f aca="false">C227/C247</f>
        <v>0.158976443419179</v>
      </c>
    </row>
    <row r="253" customFormat="false" ht="15" hidden="false" customHeight="true" outlineLevel="1" collapsed="false">
      <c r="B253" s="72" t="s">
        <v>462</v>
      </c>
      <c r="C253" s="84" t="n">
        <f aca="false">C228/C248</f>
        <v>0.157778176664793</v>
      </c>
    </row>
    <row r="254" customFormat="false" ht="15" hidden="false" customHeight="true" outlineLevel="1" collapsed="false">
      <c r="B254" s="72" t="s">
        <v>463</v>
      </c>
      <c r="C254" s="84" t="n">
        <f aca="false">C229/C249</f>
        <v>0.160190433404215</v>
      </c>
    </row>
    <row r="255" customFormat="false" ht="15" hidden="false" customHeight="true" outlineLevel="1" collapsed="false"/>
    <row r="256" customFormat="false" ht="21.75" hidden="false" customHeight="true" outlineLevel="1" collapsed="false">
      <c r="B256" s="72" t="s">
        <v>464</v>
      </c>
      <c r="C256" s="89" t="n">
        <v>0.55</v>
      </c>
      <c r="H256" s="91" t="s">
        <v>465</v>
      </c>
    </row>
    <row r="257" customFormat="false" ht="15" hidden="false" customHeight="true" outlineLevel="1" collapsed="false"/>
    <row r="258" customFormat="false" ht="15" hidden="false" customHeight="true" outlineLevel="1" collapsed="false">
      <c r="B258" s="72" t="s">
        <v>466</v>
      </c>
      <c r="C258" s="89" t="n">
        <v>0.2</v>
      </c>
      <c r="H258" s="91" t="s">
        <v>467</v>
      </c>
    </row>
    <row r="259" customFormat="false" ht="15" hidden="false" customHeight="true" outlineLevel="1" collapsed="false"/>
    <row r="260" customFormat="false" ht="15" hidden="false" customHeight="true" outlineLevel="1" collapsed="false">
      <c r="B260" s="72" t="s">
        <v>468</v>
      </c>
      <c r="C260" s="89" t="n">
        <f aca="false">CHOOSE($C$4,1.01,1.015,1.005,0.99)</f>
        <v>1.01</v>
      </c>
      <c r="H260" s="91" t="s">
        <v>469</v>
      </c>
    </row>
  </sheetData>
  <mergeCells count="13">
    <mergeCell ref="B3:H3"/>
    <mergeCell ref="D4:H4"/>
    <mergeCell ref="C105:G105"/>
    <mergeCell ref="C106:G106"/>
    <mergeCell ref="C107:G107"/>
    <mergeCell ref="C108:G108"/>
    <mergeCell ref="C109:G109"/>
    <mergeCell ref="C110:G110"/>
    <mergeCell ref="B113:H113"/>
    <mergeCell ref="B115:H115"/>
    <mergeCell ref="B124:H124"/>
    <mergeCell ref="B134:H134"/>
    <mergeCell ref="B148:H14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N269"/>
  <sheetViews>
    <sheetView showFormulas="false" showGridLines="false" showRowColHeaders="true" showZeros="true" rightToLeft="false" tabSelected="false" showOutlineSymbols="true" defaultGridColor="true" view="normal" topLeftCell="A254" colorId="64" zoomScale="78" zoomScaleNormal="78" zoomScalePageLayoutView="100" workbookViewId="0">
      <selection pane="topLeft" activeCell="A281" activeCellId="0" sqref="A281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2.42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10" min="5" style="1" width="16"/>
  </cols>
  <sheetData>
    <row r="1" customFormat="false" ht="21.75" hidden="false" customHeight="true" outlineLevel="0" collapsed="false">
      <c r="A1" s="64"/>
      <c r="B1" s="65" t="s">
        <v>470</v>
      </c>
      <c r="C1" s="65"/>
      <c r="D1" s="65"/>
      <c r="E1" s="65"/>
      <c r="F1" s="65"/>
      <c r="G1" s="79"/>
      <c r="H1" s="79"/>
      <c r="I1" s="79"/>
      <c r="J1" s="78"/>
      <c r="K1" s="78"/>
      <c r="L1" s="78"/>
      <c r="M1" s="68"/>
      <c r="N1" s="68"/>
    </row>
    <row r="2" customFormat="false" ht="18" hidden="false" customHeight="true" outlineLevel="0" collapsed="false">
      <c r="A2" s="64"/>
      <c r="B2" s="79" t="str">
        <f aca="false">"SECTION 1 — NII SIMULATION 2025A | Scenario: "&amp;CHOOSE(Engine!C4,"Base","Rate Hike","Rate Cut","Stress")</f>
        <v>SECTION 1 — NII SIMULATION 2025A | Scenario: Base</v>
      </c>
      <c r="C2" s="79"/>
      <c r="D2" s="79"/>
      <c r="E2" s="79"/>
      <c r="F2" s="79"/>
      <c r="G2" s="79"/>
      <c r="H2" s="79"/>
      <c r="I2" s="79"/>
      <c r="J2" s="78"/>
      <c r="K2" s="78"/>
      <c r="L2" s="78"/>
      <c r="M2" s="68"/>
      <c r="N2" s="68"/>
    </row>
    <row r="3" customFormat="false" ht="15" hidden="false" customHeight="true" outlineLevel="1" collapsed="false">
      <c r="A3" s="68"/>
      <c r="B3" s="69" t="s">
        <v>471</v>
      </c>
      <c r="C3" s="70" t="s">
        <v>472</v>
      </c>
      <c r="D3" s="70" t="s">
        <v>473</v>
      </c>
      <c r="E3" s="70" t="s">
        <v>474</v>
      </c>
      <c r="H3" s="68"/>
      <c r="I3" s="68"/>
      <c r="J3" s="68"/>
      <c r="K3" s="68"/>
      <c r="L3" s="68"/>
      <c r="M3" s="68"/>
      <c r="N3" s="68"/>
    </row>
    <row r="4" customFormat="false" ht="15" hidden="false" customHeight="true" outlineLevel="1" collapsed="false">
      <c r="A4" s="68"/>
      <c r="B4" s="74" t="s">
        <v>475</v>
      </c>
      <c r="C4" s="98" t="n">
        <f aca="false">Engine!D126</f>
        <v>211330</v>
      </c>
      <c r="D4" s="113" t="n">
        <f aca="false">Engine!D14</f>
        <v>0.025</v>
      </c>
      <c r="E4" s="99" t="n">
        <f aca="false">C4*D4</f>
        <v>5283.25</v>
      </c>
      <c r="H4" s="68"/>
      <c r="I4" s="68"/>
      <c r="J4" s="68"/>
      <c r="K4" s="68"/>
      <c r="L4" s="68"/>
      <c r="M4" s="68"/>
      <c r="N4" s="68"/>
    </row>
    <row r="5" customFormat="false" ht="15" hidden="false" customHeight="true" outlineLevel="1" collapsed="false">
      <c r="A5" s="68"/>
      <c r="B5" s="74" t="s">
        <v>58</v>
      </c>
      <c r="C5" s="98" t="n">
        <f aca="false">Engine!D128</f>
        <v>897358</v>
      </c>
      <c r="D5" s="113" t="n">
        <f aca="false">Engine!D116</f>
        <v>0.038</v>
      </c>
      <c r="E5" s="99" t="n">
        <f aca="false">C5*D5</f>
        <v>34099.604</v>
      </c>
      <c r="H5" s="68"/>
      <c r="I5" s="68"/>
      <c r="J5" s="68"/>
      <c r="K5" s="68"/>
      <c r="L5" s="68"/>
      <c r="M5" s="68"/>
      <c r="N5" s="68"/>
    </row>
    <row r="6" customFormat="false" ht="15" hidden="false" customHeight="true" outlineLevel="1" collapsed="false">
      <c r="A6" s="68"/>
      <c r="B6" s="74" t="s">
        <v>59</v>
      </c>
      <c r="C6" s="98" t="n">
        <f aca="false">Engine!D129</f>
        <v>26259</v>
      </c>
      <c r="D6" s="113" t="n">
        <f aca="false">Engine!D121</f>
        <v>0.031</v>
      </c>
      <c r="E6" s="99" t="n">
        <f aca="false">C6*D6</f>
        <v>814.029</v>
      </c>
      <c r="H6" s="68"/>
      <c r="I6" s="68"/>
      <c r="J6" s="68"/>
      <c r="K6" s="68"/>
      <c r="L6" s="68"/>
      <c r="M6" s="68"/>
      <c r="N6" s="68"/>
    </row>
    <row r="7" customFormat="false" ht="15" hidden="false" customHeight="true" outlineLevel="1" collapsed="false">
      <c r="A7" s="68"/>
      <c r="B7" s="74" t="s">
        <v>476</v>
      </c>
      <c r="C7" s="98" t="n">
        <f aca="false">Engine!D130</f>
        <v>153107</v>
      </c>
      <c r="D7" s="113" t="n">
        <f aca="false">Engine!D119</f>
        <v>0.03</v>
      </c>
      <c r="E7" s="99" t="n">
        <f aca="false">C7*D7</f>
        <v>4593.21</v>
      </c>
      <c r="H7" s="68"/>
      <c r="I7" s="68"/>
      <c r="J7" s="68"/>
      <c r="K7" s="68"/>
      <c r="L7" s="68"/>
      <c r="M7" s="68"/>
      <c r="N7" s="68"/>
    </row>
    <row r="8" customFormat="false" ht="15" hidden="false" customHeight="true" outlineLevel="1" collapsed="false">
      <c r="A8" s="68"/>
      <c r="B8" s="77" t="s">
        <v>477</v>
      </c>
      <c r="C8" s="99" t="n">
        <f aca="false">SUM(C4:C7)</f>
        <v>1288054</v>
      </c>
      <c r="D8" s="114"/>
      <c r="E8" s="99" t="n">
        <f aca="false">SUM(E4:E7)</f>
        <v>44790.093</v>
      </c>
      <c r="H8" s="68"/>
      <c r="I8" s="68"/>
      <c r="J8" s="68"/>
      <c r="K8" s="68"/>
      <c r="L8" s="68"/>
      <c r="M8" s="68"/>
      <c r="N8" s="68"/>
    </row>
    <row r="9" customFormat="false" ht="15" hidden="false" customHeight="true" outlineLevel="1" collapsed="false">
      <c r="A9" s="68"/>
      <c r="B9" s="74"/>
      <c r="C9" s="74"/>
      <c r="D9" s="74"/>
      <c r="E9" s="74"/>
      <c r="H9" s="68"/>
      <c r="I9" s="68"/>
      <c r="J9" s="68"/>
      <c r="K9" s="68"/>
      <c r="L9" s="68"/>
      <c r="M9" s="68"/>
      <c r="N9" s="68"/>
    </row>
    <row r="10" customFormat="false" ht="15" hidden="false" customHeight="true" outlineLevel="1" collapsed="false">
      <c r="A10" s="68"/>
      <c r="B10" s="69" t="s">
        <v>478</v>
      </c>
      <c r="C10" s="69" t="s">
        <v>472</v>
      </c>
      <c r="D10" s="69" t="s">
        <v>473</v>
      </c>
      <c r="E10" s="69" t="s">
        <v>479</v>
      </c>
      <c r="H10" s="68"/>
      <c r="I10" s="68"/>
      <c r="J10" s="68"/>
      <c r="K10" s="68"/>
      <c r="L10" s="68"/>
      <c r="M10" s="68"/>
      <c r="N10" s="68"/>
    </row>
    <row r="11" customFormat="false" ht="15" hidden="false" customHeight="true" outlineLevel="1" collapsed="false">
      <c r="A11" s="68"/>
      <c r="B11" s="74" t="s">
        <v>64</v>
      </c>
      <c r="C11" s="98" t="n">
        <f aca="false">Engine!D136</f>
        <v>1075564</v>
      </c>
      <c r="D11" s="112" t="n">
        <f aca="false">Engine!D117</f>
        <v>0.005</v>
      </c>
      <c r="E11" s="99" t="n">
        <f aca="false">C11*D11</f>
        <v>5377.82</v>
      </c>
      <c r="H11" s="68"/>
      <c r="I11" s="68"/>
      <c r="J11" s="68"/>
      <c r="K11" s="68"/>
      <c r="L11" s="68"/>
      <c r="M11" s="68"/>
      <c r="N11" s="68"/>
    </row>
    <row r="12" customFormat="false" ht="15" hidden="false" customHeight="true" outlineLevel="1" collapsed="false">
      <c r="A12" s="68"/>
      <c r="B12" s="74" t="s">
        <v>65</v>
      </c>
      <c r="C12" s="98" t="n">
        <f aca="false">Engine!D137</f>
        <v>69938</v>
      </c>
      <c r="D12" s="112" t="n">
        <f aca="false">Engine!D121</f>
        <v>0.031</v>
      </c>
      <c r="E12" s="99" t="n">
        <f aca="false">C12*D12</f>
        <v>2168.078</v>
      </c>
      <c r="H12" s="68"/>
      <c r="I12" s="68"/>
      <c r="J12" s="68"/>
      <c r="K12" s="68"/>
      <c r="L12" s="68"/>
      <c r="M12" s="68"/>
      <c r="N12" s="68"/>
    </row>
    <row r="13" customFormat="false" ht="15" hidden="false" customHeight="true" outlineLevel="1" collapsed="false">
      <c r="A13" s="68"/>
      <c r="B13" s="74" t="s">
        <v>66</v>
      </c>
      <c r="C13" s="98" t="n">
        <f aca="false">Engine!D138</f>
        <v>357947</v>
      </c>
      <c r="D13" s="112" t="n">
        <f aca="false">Engine!D118</f>
        <v>0.02415</v>
      </c>
      <c r="E13" s="99" t="n">
        <f aca="false">C13*D13</f>
        <v>8644.42005</v>
      </c>
      <c r="H13" s="68"/>
      <c r="I13" s="68"/>
      <c r="J13" s="68"/>
      <c r="K13" s="68"/>
      <c r="L13" s="68"/>
      <c r="M13" s="68"/>
      <c r="N13" s="68"/>
    </row>
    <row r="14" customFormat="false" ht="15" hidden="false" customHeight="true" outlineLevel="1" collapsed="false">
      <c r="A14" s="68"/>
      <c r="B14" s="74" t="s">
        <v>67</v>
      </c>
      <c r="C14" s="98" t="n">
        <f aca="false">Engine!D139</f>
        <v>173933</v>
      </c>
      <c r="D14" s="112" t="n">
        <f aca="false">Engine!D120</f>
        <v>0.0325</v>
      </c>
      <c r="E14" s="99" t="n">
        <f aca="false">C14*D14</f>
        <v>5652.8225</v>
      </c>
      <c r="H14" s="68"/>
      <c r="I14" s="68"/>
      <c r="J14" s="68"/>
      <c r="K14" s="68"/>
      <c r="L14" s="68"/>
      <c r="M14" s="68"/>
      <c r="N14" s="68"/>
    </row>
    <row r="15" customFormat="false" ht="15" hidden="false" customHeight="true" outlineLevel="1" collapsed="false">
      <c r="A15" s="68"/>
      <c r="B15" s="74" t="s">
        <v>68</v>
      </c>
      <c r="C15" s="98" t="n">
        <f aca="false">Engine!D140</f>
        <v>34468</v>
      </c>
      <c r="D15" s="112" t="n">
        <f aca="false">Engine!D122</f>
        <v>0.025</v>
      </c>
      <c r="E15" s="99" t="n">
        <f aca="false">C15*D15</f>
        <v>861.7</v>
      </c>
      <c r="H15" s="68"/>
      <c r="I15" s="68"/>
      <c r="J15" s="68"/>
      <c r="K15" s="68"/>
      <c r="L15" s="68"/>
      <c r="M15" s="68"/>
      <c r="N15" s="68"/>
    </row>
    <row r="16" customFormat="false" ht="15" hidden="false" customHeight="true" outlineLevel="1" collapsed="false">
      <c r="A16" s="68"/>
      <c r="B16" s="77" t="s">
        <v>480</v>
      </c>
      <c r="C16" s="99" t="n">
        <f aca="false">SUM(C11:C15)</f>
        <v>1711850</v>
      </c>
      <c r="D16" s="115"/>
      <c r="E16" s="99" t="n">
        <f aca="false">SUM(E11:E15)</f>
        <v>22704.84055</v>
      </c>
      <c r="H16" s="68"/>
      <c r="I16" s="68"/>
      <c r="J16" s="68"/>
      <c r="K16" s="68"/>
      <c r="L16" s="68"/>
      <c r="M16" s="68"/>
      <c r="N16" s="68"/>
    </row>
    <row r="17" customFormat="false" ht="7.5" hidden="false" customHeight="true" outlineLevel="1" collapsed="false">
      <c r="A17" s="68"/>
      <c r="B17" s="88"/>
      <c r="C17" s="88"/>
      <c r="D17" s="88"/>
      <c r="E17" s="88"/>
      <c r="H17" s="68"/>
      <c r="I17" s="68"/>
      <c r="J17" s="68"/>
      <c r="K17" s="68"/>
      <c r="L17" s="68"/>
      <c r="M17" s="68"/>
      <c r="N17" s="68"/>
    </row>
    <row r="18" customFormat="false" ht="18" hidden="false" customHeight="true" outlineLevel="1" collapsed="false">
      <c r="A18" s="68"/>
      <c r="B18" s="77" t="s">
        <v>481</v>
      </c>
      <c r="C18" s="99" t="n">
        <f aca="false">E8-E16</f>
        <v>22085.25245</v>
      </c>
      <c r="H18" s="68"/>
      <c r="I18" s="68"/>
      <c r="J18" s="68"/>
      <c r="K18" s="68"/>
      <c r="L18" s="68"/>
      <c r="M18" s="68"/>
      <c r="N18" s="68"/>
    </row>
    <row r="19" customFormat="false" ht="15" hidden="false" customHeight="true" outlineLevel="1" collapsed="false">
      <c r="A19" s="68"/>
      <c r="B19" s="74" t="s">
        <v>482</v>
      </c>
      <c r="C19" s="98" t="n">
        <f aca="false">(Engine!C126+Engine!C128+Engine!C129+Engine!C130+Engine!D126+Engine!D128+Engine!D129+Engine!D130)/2</f>
        <v>1275211.5</v>
      </c>
      <c r="H19" s="68"/>
      <c r="I19" s="68"/>
      <c r="J19" s="68"/>
      <c r="K19" s="68"/>
      <c r="L19" s="68"/>
      <c r="M19" s="68"/>
      <c r="N19" s="68"/>
    </row>
    <row r="20" customFormat="false" ht="15" hidden="false" customHeight="true" outlineLevel="1" collapsed="false">
      <c r="A20" s="68"/>
      <c r="B20" s="116" t="s">
        <v>483</v>
      </c>
      <c r="C20" s="84" t="n">
        <f aca="false">C18/C19</f>
        <v>0.0173188937286089</v>
      </c>
      <c r="H20" s="68"/>
      <c r="I20" s="68"/>
      <c r="J20" s="68"/>
      <c r="K20" s="68"/>
      <c r="L20" s="68"/>
      <c r="M20" s="68"/>
      <c r="N20" s="68"/>
    </row>
    <row r="21" customFormat="false" ht="18" hidden="false" customHeight="true" outlineLevel="0" collapsed="false">
      <c r="A21" s="64"/>
      <c r="B21" s="79" t="str">
        <f aca="false">"SECTION 2 — P&amp;L MODEL | 2025A→2028F | Scenario: "&amp;CHOOSE(Engine!C4,"Base","Rate Hike","Rate Cut","Stress")</f>
        <v>SECTION 2 — P&amp;L MODEL | 2025A→2028F | Scenario: Base</v>
      </c>
      <c r="C21" s="79"/>
      <c r="D21" s="79"/>
      <c r="E21" s="79"/>
      <c r="F21" s="79"/>
      <c r="G21" s="79"/>
      <c r="H21" s="79"/>
      <c r="I21" s="79"/>
      <c r="J21" s="78"/>
      <c r="K21" s="78"/>
      <c r="L21" s="78"/>
      <c r="M21" s="68"/>
      <c r="N21" s="68"/>
    </row>
    <row r="22" customFormat="false" ht="15" hidden="false" customHeight="true" outlineLevel="1" collapsed="false">
      <c r="A22" s="68"/>
      <c r="B22" s="69" t="s">
        <v>484</v>
      </c>
      <c r="C22" s="70" t="s">
        <v>51</v>
      </c>
      <c r="D22" s="70" t="s">
        <v>52</v>
      </c>
      <c r="E22" s="70" t="s">
        <v>53</v>
      </c>
      <c r="F22" s="70" t="s">
        <v>54</v>
      </c>
      <c r="H22" s="68"/>
      <c r="I22" s="68"/>
      <c r="J22" s="68"/>
      <c r="K22" s="68"/>
      <c r="L22" s="68"/>
      <c r="M22" s="68"/>
      <c r="N22" s="68"/>
    </row>
    <row r="23" customFormat="false" ht="24" hidden="false" customHeight="true" outlineLevel="1" collapsed="false">
      <c r="A23" s="68"/>
      <c r="B23" s="77" t="s">
        <v>75</v>
      </c>
      <c r="C23" s="99" t="n">
        <f aca="false">C18</f>
        <v>22085.25245</v>
      </c>
      <c r="D23" s="98" t="n">
        <f aca="false">(Engine!E126*Engine!E14)+(Engine!E128*Engine!E116)+(Engine!E129*Engine!E121)+(Engine!E130*Engine!E119)-((Engine!E136*Engine!E117)+(Engine!E137*Engine!E121)+(Engine!E138*Engine!E118)+(Engine!E139*Engine!E120)+(Engine!E140*Engine!E122))</f>
        <v>22685.668548311</v>
      </c>
      <c r="E23" s="98" t="n">
        <f aca="false">(Engine!F126*Engine!F14)+(Engine!F128*Engine!F116)+(Engine!F129*Engine!F121)+(Engine!F130*Engine!F119)-((Engine!F136*Engine!F117)+(Engine!F137*Engine!F121)+(Engine!F138*Engine!F118)+(Engine!F139*Engine!F120)+(Engine!F140*Engine!F122))</f>
        <v>23224.9233783616</v>
      </c>
      <c r="F23" s="98" t="n">
        <f aca="false">(Engine!G126*Engine!G14)+(Engine!G128*Engine!G116)+(Engine!G129*Engine!G121)+(Engine!G130*Engine!G119)-((Engine!G136*Engine!G117)+(Engine!G137*Engine!G121)+(Engine!G138*Engine!G118)+(Engine!G139*Engine!G120)+(Engine!G140*Engine!G122))</f>
        <v>24295.9454104467</v>
      </c>
      <c r="H23" s="68"/>
      <c r="I23" s="68"/>
      <c r="J23" s="68"/>
      <c r="K23" s="68"/>
      <c r="L23" s="68"/>
      <c r="M23" s="68"/>
      <c r="N23" s="68"/>
    </row>
    <row r="24" customFormat="false" ht="15" hidden="false" customHeight="true" outlineLevel="1" collapsed="false">
      <c r="A24" s="68"/>
      <c r="B24" s="74" t="s">
        <v>76</v>
      </c>
      <c r="C24" s="98" t="n">
        <f aca="false">Engine!D132*Engine!$C$40</f>
        <v>22343.848</v>
      </c>
      <c r="D24" s="98" t="n">
        <f aca="false">Engine!E132*Engine!$C$40</f>
        <v>22670.6967727328</v>
      </c>
      <c r="E24" s="98" t="n">
        <f aca="false">Engine!F132*Engine!$C$40</f>
        <v>23004.3122193847</v>
      </c>
      <c r="F24" s="98" t="n">
        <f aca="false">Engine!G132*Engine!$C$40</f>
        <v>23345.3231023408</v>
      </c>
      <c r="H24" s="68"/>
      <c r="I24" s="68"/>
      <c r="J24" s="68"/>
      <c r="K24" s="68"/>
      <c r="L24" s="68"/>
      <c r="M24" s="68"/>
      <c r="N24" s="68"/>
    </row>
    <row r="25" customFormat="false" ht="21.75" hidden="false" customHeight="true" outlineLevel="1" collapsed="false">
      <c r="A25" s="68"/>
      <c r="B25" s="77" t="s">
        <v>77</v>
      </c>
      <c r="C25" s="99" t="n">
        <f aca="false">C23+C24</f>
        <v>44429.10045</v>
      </c>
      <c r="D25" s="99" t="n">
        <f aca="false">D23+D24</f>
        <v>45356.3653210436</v>
      </c>
      <c r="E25" s="99" t="n">
        <f aca="false">E23+E24</f>
        <v>46229.2355977464</v>
      </c>
      <c r="F25" s="99" t="n">
        <f aca="false">F23+F24</f>
        <v>47641.2685127875</v>
      </c>
      <c r="H25" s="68"/>
      <c r="I25" s="68"/>
      <c r="J25" s="68"/>
      <c r="K25" s="68"/>
      <c r="L25" s="68"/>
      <c r="M25" s="68"/>
      <c r="N25" s="68"/>
    </row>
    <row r="26" customFormat="false" ht="15" hidden="false" customHeight="true" outlineLevel="1" collapsed="false">
      <c r="A26" s="68"/>
      <c r="B26" s="117" t="s">
        <v>485</v>
      </c>
      <c r="C26" s="98" t="n">
        <f aca="false">C25*(-Engine!$H$5)</f>
        <v>-27546.042279</v>
      </c>
      <c r="D26" s="98" t="n">
        <f aca="false">D25*(-Engine!$H$5)</f>
        <v>-28120.946499047</v>
      </c>
      <c r="E26" s="98" t="n">
        <f aca="false">E25*(-Engine!$H$5)</f>
        <v>-28662.1260706028</v>
      </c>
      <c r="F26" s="98" t="n">
        <f aca="false">F25*(-Engine!$H$5)</f>
        <v>-29537.5864779283</v>
      </c>
      <c r="H26" s="68"/>
      <c r="I26" s="68"/>
      <c r="J26" s="68"/>
      <c r="K26" s="68"/>
      <c r="L26" s="68"/>
      <c r="M26" s="68"/>
      <c r="N26" s="68"/>
    </row>
    <row r="27" customFormat="false" ht="21.75" hidden="false" customHeight="true" outlineLevel="1" collapsed="false">
      <c r="A27" s="68"/>
      <c r="B27" s="74" t="s">
        <v>486</v>
      </c>
      <c r="C27" s="99" t="n">
        <f aca="false">C25+C26</f>
        <v>16883.058171</v>
      </c>
      <c r="D27" s="99" t="n">
        <f aca="false">D25+D26</f>
        <v>17235.4188219966</v>
      </c>
      <c r="E27" s="99" t="n">
        <f aca="false">E25+E26</f>
        <v>17567.1095271436</v>
      </c>
      <c r="F27" s="99" t="n">
        <f aca="false">F25+F26</f>
        <v>18103.6820348593</v>
      </c>
      <c r="H27" s="68"/>
      <c r="I27" s="68"/>
      <c r="J27" s="68"/>
      <c r="K27" s="68"/>
      <c r="L27" s="68"/>
      <c r="M27" s="68"/>
      <c r="N27" s="68"/>
    </row>
    <row r="28" customFormat="false" ht="15" hidden="false" customHeight="true" outlineLevel="1" collapsed="false">
      <c r="A28" s="68"/>
      <c r="B28" s="117" t="s">
        <v>487</v>
      </c>
      <c r="C28" s="98" t="n">
        <f aca="false">-(Engine!D128*Engine!$G$5/10000)</f>
        <v>-2243.395</v>
      </c>
      <c r="D28" s="98" t="n">
        <f aca="false">-(Engine!E128*Engine!$G$5/10000)</f>
        <v>-2310.69685</v>
      </c>
      <c r="E28" s="98" t="n">
        <f aca="false">-(Engine!F128*Engine!$G$5/10000)</f>
        <v>-2380.0177555</v>
      </c>
      <c r="F28" s="98" t="n">
        <f aca="false">-(Engine!G128*Engine!$G$5/10000)</f>
        <v>-2451.418288165</v>
      </c>
      <c r="H28" s="68"/>
      <c r="I28" s="68"/>
      <c r="J28" s="68"/>
      <c r="K28" s="68"/>
      <c r="L28" s="68"/>
      <c r="M28" s="68"/>
      <c r="N28" s="68"/>
    </row>
    <row r="29" customFormat="false" ht="21.75" hidden="false" customHeight="true" outlineLevel="1" collapsed="false">
      <c r="A29" s="68"/>
      <c r="B29" s="74" t="s">
        <v>488</v>
      </c>
      <c r="C29" s="99" t="n">
        <f aca="false">C27+C28</f>
        <v>14639.663171</v>
      </c>
      <c r="D29" s="99" t="n">
        <f aca="false">D27+D28</f>
        <v>14924.7219719966</v>
      </c>
      <c r="E29" s="99" t="n">
        <f aca="false">E27+E28</f>
        <v>15187.0917716436</v>
      </c>
      <c r="F29" s="99" t="n">
        <f aca="false">F27+F28</f>
        <v>15652.2637466943</v>
      </c>
      <c r="H29" s="68"/>
      <c r="I29" s="68"/>
      <c r="J29" s="68"/>
      <c r="K29" s="68"/>
      <c r="L29" s="68"/>
      <c r="M29" s="68"/>
      <c r="N29" s="68"/>
    </row>
    <row r="30" customFormat="false" ht="24" hidden="false" customHeight="true" outlineLevel="1" collapsed="false">
      <c r="A30" s="68"/>
      <c r="B30" s="74" t="s">
        <v>489</v>
      </c>
      <c r="C30" s="98" t="n">
        <f aca="false">C29*(-Engine!$C$156)</f>
        <v>-3659.91579275</v>
      </c>
      <c r="D30" s="98" t="n">
        <f aca="false">D29*(-Engine!$C$156)</f>
        <v>-3731.18049299914</v>
      </c>
      <c r="E30" s="98" t="n">
        <f aca="false">E29*(-Engine!$C$156)</f>
        <v>-3796.77294291091</v>
      </c>
      <c r="F30" s="98" t="n">
        <f aca="false">F29*(-Engine!$C$156)</f>
        <v>-3913.06593667357</v>
      </c>
      <c r="H30" s="68"/>
      <c r="I30" s="68"/>
      <c r="J30" s="68"/>
      <c r="K30" s="68"/>
      <c r="L30" s="68"/>
      <c r="M30" s="68"/>
      <c r="N30" s="68"/>
    </row>
    <row r="31" customFormat="false" ht="15" hidden="false" customHeight="true" outlineLevel="1" collapsed="false">
      <c r="A31" s="68"/>
      <c r="B31" s="77" t="s">
        <v>80</v>
      </c>
      <c r="C31" s="99" t="n">
        <f aca="false">C29+C30</f>
        <v>10979.74737825</v>
      </c>
      <c r="D31" s="99" t="n">
        <f aca="false">D29+D30</f>
        <v>11193.5414789974</v>
      </c>
      <c r="E31" s="99" t="n">
        <f aca="false">E29+E30</f>
        <v>11390.3188287327</v>
      </c>
      <c r="F31" s="99" t="n">
        <f aca="false">F29+F30</f>
        <v>11739.1978100207</v>
      </c>
      <c r="H31" s="68"/>
      <c r="I31" s="68"/>
      <c r="J31" s="68"/>
      <c r="K31" s="68"/>
      <c r="L31" s="68"/>
      <c r="M31" s="68"/>
      <c r="N31" s="68"/>
    </row>
    <row r="32" customFormat="false" ht="15" hidden="false" customHeight="true" outlineLevel="1" collapsed="false">
      <c r="A32" s="68"/>
      <c r="B32" s="74" t="s">
        <v>490</v>
      </c>
      <c r="C32" s="98" t="n">
        <f aca="false">C31*(-Engine!$C$41)</f>
        <v>-6587.84842695</v>
      </c>
      <c r="D32" s="98" t="n">
        <f aca="false">D31*(-Engine!$C$41)</f>
        <v>-6716.12488739846</v>
      </c>
      <c r="E32" s="98" t="n">
        <f aca="false">E31*(-Engine!$C$41)</f>
        <v>-6834.19129723963</v>
      </c>
      <c r="F32" s="98" t="n">
        <f aca="false">F31*(-Engine!$C$41)</f>
        <v>-7043.51868601242</v>
      </c>
      <c r="H32" s="68"/>
      <c r="I32" s="68"/>
      <c r="J32" s="68"/>
      <c r="K32" s="68"/>
      <c r="L32" s="68"/>
      <c r="M32" s="68"/>
      <c r="N32" s="68"/>
    </row>
    <row r="33" customFormat="false" ht="15" hidden="false" customHeight="true" outlineLevel="1" collapsed="false">
      <c r="A33" s="68"/>
      <c r="B33" s="74" t="s">
        <v>491</v>
      </c>
      <c r="C33" s="99" t="n">
        <f aca="false">C31+C32</f>
        <v>4391.8989513</v>
      </c>
      <c r="D33" s="99" t="n">
        <f aca="false">D31+D32</f>
        <v>4477.41659159897</v>
      </c>
      <c r="E33" s="99" t="n">
        <f aca="false">E31+E32</f>
        <v>4556.12753149309</v>
      </c>
      <c r="F33" s="99" t="n">
        <f aca="false">F31+F32</f>
        <v>4695.67912400828</v>
      </c>
      <c r="H33" s="68"/>
      <c r="I33" s="68"/>
      <c r="J33" s="68"/>
      <c r="K33" s="68"/>
      <c r="L33" s="68"/>
      <c r="M33" s="68"/>
      <c r="N33" s="68"/>
    </row>
    <row r="34" customFormat="false" ht="21.75" hidden="false" customHeight="true" outlineLevel="1" collapsed="false">
      <c r="A34" s="68"/>
      <c r="B34" s="117" t="s">
        <v>81</v>
      </c>
      <c r="C34" s="113" t="n">
        <f aca="false">C31/Engine!D145</f>
        <v>0.0830710309840134</v>
      </c>
      <c r="D34" s="113" t="n">
        <f aca="false">D31/Engine!E145</f>
        <v>0.0819137018253744</v>
      </c>
      <c r="E34" s="113" t="n">
        <f aca="false">E31/Engine!F145</f>
        <v>0.0806642418697223</v>
      </c>
      <c r="F34" s="113" t="n">
        <f aca="false">F31/Engine!G145</f>
        <v>0.0804593483825066</v>
      </c>
      <c r="H34" s="68"/>
      <c r="I34" s="68"/>
      <c r="J34" s="68"/>
      <c r="K34" s="68"/>
      <c r="L34" s="68"/>
      <c r="M34" s="68"/>
      <c r="N34" s="68"/>
    </row>
    <row r="35" customFormat="false" ht="21.75" hidden="false" customHeight="true" outlineLevel="1" collapsed="false">
      <c r="A35" s="68"/>
      <c r="B35" s="117" t="s">
        <v>492</v>
      </c>
      <c r="C35" s="113" t="n">
        <f aca="false">C31/Engine!D132</f>
        <v>0.00393119300784717</v>
      </c>
      <c r="D35" s="113" t="n">
        <f aca="false">D31/Engine!E132</f>
        <v>0.00394995940043995</v>
      </c>
      <c r="E35" s="113" t="n">
        <f aca="false">E31/Engine!F132</f>
        <v>0.00396110736808192</v>
      </c>
      <c r="F35" s="113" t="n">
        <f aca="false">F31/Engine!G132</f>
        <v>0.004022800715521</v>
      </c>
      <c r="H35" s="68"/>
      <c r="I35" s="68"/>
      <c r="J35" s="68"/>
      <c r="K35" s="68"/>
      <c r="L35" s="68"/>
      <c r="M35" s="68"/>
      <c r="N35" s="68"/>
    </row>
    <row r="36" customFormat="false" ht="15" hidden="false" customHeight="true" outlineLevel="1" collapsed="false">
      <c r="A36" s="68"/>
      <c r="B36" s="117" t="s">
        <v>493</v>
      </c>
      <c r="C36" s="84" t="n">
        <f aca="false">(-C26)/C25</f>
        <v>0.62</v>
      </c>
      <c r="D36" s="84" t="n">
        <f aca="false">(-D26)/D25</f>
        <v>0.62</v>
      </c>
      <c r="E36" s="84" t="n">
        <f aca="false">(-E26)/E25</f>
        <v>0.62</v>
      </c>
      <c r="F36" s="84" t="n">
        <f aca="false">(-F26)/F25</f>
        <v>0.62</v>
      </c>
      <c r="H36" s="68"/>
      <c r="I36" s="68"/>
      <c r="J36" s="68"/>
      <c r="K36" s="68"/>
      <c r="L36" s="68"/>
      <c r="M36" s="68"/>
      <c r="N36" s="68"/>
    </row>
    <row r="37" customFormat="false" ht="15" hidden="false" customHeight="true" outlineLevel="1" collapsed="false">
      <c r="A37" s="68"/>
      <c r="B37" s="67"/>
      <c r="C37" s="67"/>
      <c r="D37" s="67"/>
      <c r="E37" s="67"/>
      <c r="F37" s="67"/>
      <c r="G37" s="67"/>
      <c r="H37" s="67"/>
      <c r="I37" s="68"/>
      <c r="J37" s="68"/>
      <c r="K37" s="68"/>
      <c r="L37" s="68"/>
      <c r="M37" s="68"/>
      <c r="N37" s="68"/>
    </row>
    <row r="38" customFormat="false" ht="18" hidden="false" customHeight="true" outlineLevel="0" collapsed="false">
      <c r="A38" s="64"/>
      <c r="B38" s="79" t="str">
        <f aca="false">"SECTION 3 — REPRICING GAP 2025A | EBA/GL/2022/14 | Scenario: "&amp;CHOOSE(Engine!C4,"Base","Rate Hike","Rate Cut","Stress")</f>
        <v>SECTION 3 — REPRICING GAP 2025A | EBA/GL/2022/14 | Scenario: Base</v>
      </c>
      <c r="C38" s="79"/>
      <c r="D38" s="79"/>
      <c r="E38" s="79"/>
      <c r="F38" s="79"/>
      <c r="G38" s="79"/>
      <c r="H38" s="79"/>
      <c r="I38" s="79"/>
      <c r="J38" s="78"/>
      <c r="K38" s="78"/>
      <c r="L38" s="78"/>
      <c r="M38" s="68"/>
      <c r="N38" s="68"/>
    </row>
    <row r="39" customFormat="false" ht="15" hidden="false" customHeight="true" outlineLevel="1" collapsed="false">
      <c r="A39" s="68"/>
      <c r="B39" s="69" t="s">
        <v>494</v>
      </c>
      <c r="C39" s="70" t="s">
        <v>495</v>
      </c>
      <c r="D39" s="70" t="s">
        <v>496</v>
      </c>
      <c r="E39" s="70" t="s">
        <v>497</v>
      </c>
      <c r="F39" s="70" t="s">
        <v>498</v>
      </c>
      <c r="G39" s="70" t="s">
        <v>499</v>
      </c>
      <c r="I39" s="68"/>
      <c r="J39" s="68"/>
      <c r="K39" s="68"/>
      <c r="L39" s="68"/>
      <c r="M39" s="68"/>
      <c r="N39" s="68"/>
    </row>
    <row r="40" customFormat="false" ht="15" hidden="false" customHeight="true" outlineLevel="1" collapsed="false">
      <c r="A40" s="68"/>
      <c r="B40" s="72" t="s">
        <v>500</v>
      </c>
      <c r="C40" s="98" t="n">
        <f aca="false">Engine!D126+Engine!D129*0.5</f>
        <v>224459.5</v>
      </c>
      <c r="D40" s="98" t="n">
        <f aca="false">Engine!D136*CHOOSE(Engine!C4,Engine!F7,Engine!F8,Engine!F9,Engine!F10) + Engine!D137*0.6 + Engine!D138</f>
        <v>830135.4</v>
      </c>
      <c r="E40" s="99" t="n">
        <f aca="false">C40-D40</f>
        <v>-605675.9</v>
      </c>
      <c r="F40" s="99" t="n">
        <f aca="false">E40</f>
        <v>-605675.9</v>
      </c>
      <c r="G40" s="98" t="n">
        <f aca="false">E40*Engine!$C$176*(1/365)</f>
        <v>-4.97815808219178</v>
      </c>
      <c r="I40" s="68"/>
      <c r="J40" s="68"/>
      <c r="K40" s="68"/>
      <c r="L40" s="68"/>
      <c r="M40" s="68"/>
      <c r="N40" s="68"/>
    </row>
    <row r="41" customFormat="false" ht="15" hidden="false" customHeight="true" outlineLevel="1" collapsed="false">
      <c r="A41" s="68"/>
      <c r="B41" s="72" t="s">
        <v>501</v>
      </c>
      <c r="C41" s="98" t="n">
        <f aca="false">Engine!D128*Engine!$C$160+Engine!D129*0.5+Engine!D130*0.05</f>
        <v>828407.05</v>
      </c>
      <c r="D41" s="98" t="n">
        <f aca="false">Engine!D136*Engine!$C$36*Engine!$C$168+Engine!D137*0.4</f>
        <v>103264.68</v>
      </c>
      <c r="E41" s="99" t="n">
        <f aca="false">C41-D41</f>
        <v>725142.37</v>
      </c>
      <c r="F41" s="99" t="n">
        <f aca="false">F40+E41</f>
        <v>119466.47</v>
      </c>
      <c r="G41" s="98" t="n">
        <f aca="false">E41*0.01*Engine!$C$177</f>
        <v>906.4279625</v>
      </c>
      <c r="I41" s="68"/>
      <c r="J41" s="68"/>
      <c r="K41" s="68"/>
      <c r="L41" s="68"/>
      <c r="M41" s="68"/>
      <c r="N41" s="68"/>
    </row>
    <row r="42" customFormat="false" ht="15" hidden="false" customHeight="true" outlineLevel="1" collapsed="false">
      <c r="A42" s="68"/>
      <c r="B42" s="72" t="s">
        <v>502</v>
      </c>
      <c r="C42" s="98" t="n">
        <f aca="false">Engine!D128*Engine!$C$161+Engine!D130*0.05</f>
        <v>25602.51</v>
      </c>
      <c r="D42" s="98" t="n">
        <f aca="false">Engine!D136*Engine!$C$36*Engine!$C$169</f>
        <v>75289.48</v>
      </c>
      <c r="E42" s="99" t="n">
        <f aca="false">C42-D42</f>
        <v>-49686.97</v>
      </c>
      <c r="F42" s="99" t="n">
        <f aca="false">F41+E42</f>
        <v>69779.5000000001</v>
      </c>
      <c r="G42" s="98" t="n">
        <f aca="false">E42*0.01*Engine!$C$178</f>
        <v>-186.3261375</v>
      </c>
      <c r="I42" s="68"/>
      <c r="J42" s="68"/>
      <c r="K42" s="68"/>
      <c r="L42" s="68"/>
      <c r="M42" s="68"/>
      <c r="N42" s="68"/>
    </row>
    <row r="43" customFormat="false" ht="15" hidden="false" customHeight="true" outlineLevel="1" collapsed="false">
      <c r="A43" s="68"/>
      <c r="B43" s="72" t="s">
        <v>503</v>
      </c>
      <c r="C43" s="98" t="n">
        <f aca="false">Engine!D128*Engine!$C$162+Engine!D130*0.1</f>
        <v>42231.44</v>
      </c>
      <c r="D43" s="98" t="n">
        <f aca="false">Engine!D136*Engine!$C$36*Engine!$C$170</f>
        <v>112934.22</v>
      </c>
      <c r="E43" s="99" t="n">
        <f aca="false">C43-D43</f>
        <v>-70702.78</v>
      </c>
      <c r="F43" s="99" t="n">
        <f aca="false">F42+E43</f>
        <v>-923.279999999897</v>
      </c>
      <c r="G43" s="98" t="n">
        <f aca="false">E43*0.01*Engine!$C$179</f>
        <v>-530.27085</v>
      </c>
      <c r="I43" s="68"/>
      <c r="J43" s="68"/>
      <c r="K43" s="68"/>
      <c r="L43" s="68"/>
      <c r="M43" s="68"/>
      <c r="N43" s="68"/>
    </row>
    <row r="44" customFormat="false" ht="15" hidden="false" customHeight="true" outlineLevel="1" collapsed="false">
      <c r="A44" s="68"/>
      <c r="B44" s="72" t="s">
        <v>504</v>
      </c>
      <c r="C44" s="98" t="n">
        <f aca="false">Engine!D128*Engine!$C$163+Engine!D130*0.15</f>
        <v>40913.21</v>
      </c>
      <c r="D44" s="98" t="n">
        <f aca="false">Engine!D136*Engine!$C$36*Engine!$C$171+Engine!D139*0.1</f>
        <v>205617</v>
      </c>
      <c r="E44" s="99" t="n">
        <f aca="false">C44-D44</f>
        <v>-164703.79</v>
      </c>
      <c r="F44" s="99" t="n">
        <f aca="false">F43+E44</f>
        <v>-165627.07</v>
      </c>
      <c r="G44" s="98" t="n">
        <f aca="false">E44*0.01*Engine!$C$180</f>
        <v>-2470.55685</v>
      </c>
      <c r="I44" s="68"/>
      <c r="J44" s="68"/>
      <c r="K44" s="68"/>
      <c r="L44" s="68"/>
      <c r="M44" s="68"/>
      <c r="N44" s="68"/>
    </row>
    <row r="45" customFormat="false" ht="15" hidden="false" customHeight="true" outlineLevel="1" collapsed="false">
      <c r="A45" s="68"/>
      <c r="B45" s="72" t="s">
        <v>505</v>
      </c>
      <c r="C45" s="98" t="n">
        <f aca="false">Engine!D128*Engine!$C$164+Engine!D130*0.35</f>
        <v>71534.61</v>
      </c>
      <c r="D45" s="98" t="n">
        <f aca="false">Engine!D136*Engine!$C$36*Engine!$C$172+Engine!D139*0.5</f>
        <v>312834.94</v>
      </c>
      <c r="E45" s="99" t="n">
        <f aca="false">C45-D45</f>
        <v>-241300.33</v>
      </c>
      <c r="F45" s="99" t="n">
        <f aca="false">F44+E45</f>
        <v>-406927.4</v>
      </c>
      <c r="G45" s="98" t="n">
        <f aca="false">E45*0.01*Engine!$C$181</f>
        <v>-8445.51155</v>
      </c>
      <c r="I45" s="68"/>
      <c r="J45" s="68"/>
      <c r="K45" s="68"/>
      <c r="L45" s="68"/>
      <c r="M45" s="68"/>
      <c r="N45" s="68"/>
    </row>
    <row r="46" customFormat="false" ht="15" hidden="false" customHeight="true" outlineLevel="1" collapsed="false">
      <c r="A46" s="68"/>
      <c r="B46" s="72" t="s">
        <v>506</v>
      </c>
      <c r="C46" s="98" t="n">
        <f aca="false">Engine!D128*Engine!$C$165+Engine!D130*0.3</f>
        <v>54905.68</v>
      </c>
      <c r="D46" s="98" t="n">
        <f aca="false">Engine!D136*Engine!$C$36*Engine!$C$173+Engine!D139*0.4+Engine!D140</f>
        <v>179330.68</v>
      </c>
      <c r="E46" s="99" t="n">
        <f aca="false">C46-D46</f>
        <v>-124425</v>
      </c>
      <c r="F46" s="99" t="n">
        <f aca="false">F45+E46</f>
        <v>-531352.4</v>
      </c>
      <c r="G46" s="98" t="n">
        <f aca="false">E46*0.01*Engine!$C$182</f>
        <v>-8709.75</v>
      </c>
      <c r="I46" s="68"/>
      <c r="J46" s="68"/>
      <c r="K46" s="68"/>
      <c r="L46" s="68"/>
      <c r="M46" s="68"/>
      <c r="N46" s="68"/>
    </row>
    <row r="47" customFormat="false" ht="15" hidden="false" customHeight="true" outlineLevel="1" collapsed="false">
      <c r="A47" s="68"/>
      <c r="B47" s="77" t="s">
        <v>507</v>
      </c>
      <c r="C47" s="99" t="n">
        <f aca="false">SUM(C40:C46)</f>
        <v>1288054</v>
      </c>
      <c r="D47" s="99" t="n">
        <f aca="false">SUM(D40:D46)</f>
        <v>1819406.4</v>
      </c>
      <c r="E47" s="99" t="n">
        <f aca="false">SUM(E40:E46)</f>
        <v>-531352.4</v>
      </c>
      <c r="F47" s="99" t="n">
        <f aca="false">F46</f>
        <v>-531352.4</v>
      </c>
      <c r="G47" s="99" t="n">
        <f aca="false">SUM(G40:G46)</f>
        <v>-19440.9655830822</v>
      </c>
      <c r="H47" s="67"/>
      <c r="I47" s="68"/>
      <c r="J47" s="68"/>
      <c r="K47" s="68"/>
      <c r="L47" s="68"/>
      <c r="M47" s="68"/>
      <c r="N47" s="68"/>
    </row>
    <row r="48" customFormat="false" ht="15" hidden="false" customHeight="true" outlineLevel="1" collapsed="false">
      <c r="A48" s="68"/>
      <c r="B48" s="72" t="s">
        <v>508</v>
      </c>
      <c r="C48" s="98" t="n">
        <f aca="false">C47-(Engine!D126+Engine!D128+Engine!D129+Engine!D130)</f>
        <v>0</v>
      </c>
      <c r="D48" s="98" t="n">
        <f aca="false">D47-(Engine!D136+Engine!D137+Engine!D138+Engine!D139+Engine!D140)</f>
        <v>107556.4</v>
      </c>
      <c r="E48" s="118"/>
      <c r="F48" s="119"/>
      <c r="G48" s="119"/>
      <c r="H48" s="67"/>
      <c r="I48" s="68"/>
      <c r="J48" s="68"/>
      <c r="K48" s="68"/>
      <c r="L48" s="68"/>
      <c r="M48" s="68"/>
      <c r="N48" s="68"/>
    </row>
    <row r="49" customFormat="false" ht="18" hidden="false" customHeight="true" outlineLevel="0" collapsed="false">
      <c r="A49" s="64"/>
      <c r="B49" s="79" t="str">
        <f aca="false">"SECTION 4 — IRRBB | EBA/GL/2022/14 | HEDGING DERIVATIVES EXCLUDED | Scenario: "&amp;CHOOSE(Engine!C4,"Base","Rate Hike","Rate Cut","Stress")</f>
        <v>SECTION 4 — IRRBB | EBA/GL/2022/14 | HEDGING DERIVATIVES EXCLUDED | Scenario: Base</v>
      </c>
      <c r="C49" s="79"/>
      <c r="D49" s="79"/>
      <c r="E49" s="79"/>
      <c r="F49" s="79"/>
      <c r="G49" s="79"/>
      <c r="H49" s="79"/>
      <c r="I49" s="79"/>
      <c r="J49" s="78"/>
      <c r="K49" s="78"/>
      <c r="L49" s="78"/>
      <c r="M49" s="68"/>
      <c r="N49" s="68"/>
    </row>
    <row r="50" customFormat="false" ht="15" hidden="false" customHeight="true" outlineLevel="1" collapsed="false">
      <c r="A50" s="68"/>
      <c r="B50" s="69" t="s">
        <v>509</v>
      </c>
      <c r="C50" s="70" t="s">
        <v>510</v>
      </c>
      <c r="D50" s="70" t="s">
        <v>511</v>
      </c>
      <c r="H50" s="68"/>
      <c r="I50" s="68"/>
      <c r="J50" s="68"/>
      <c r="K50" s="68"/>
      <c r="L50" s="68"/>
      <c r="M50" s="68"/>
      <c r="N50" s="68"/>
    </row>
    <row r="51" customFormat="false" ht="15" hidden="false" customHeight="true" outlineLevel="1" collapsed="false">
      <c r="A51" s="68"/>
      <c r="B51" s="74" t="s">
        <v>512</v>
      </c>
      <c r="C51" s="98" t="n">
        <f aca="false">Engine!D126+Engine!D128*Engine!$C$24+Engine!D130</f>
        <v>1172059.2</v>
      </c>
      <c r="D51" s="98" t="n">
        <f aca="false">Engine!D128+Engine!D129+Engine!D130+Engine!D126</f>
        <v>1288054</v>
      </c>
      <c r="H51" s="68"/>
      <c r="I51" s="68"/>
      <c r="J51" s="68"/>
      <c r="K51" s="68"/>
      <c r="L51" s="68"/>
      <c r="M51" s="68"/>
      <c r="N51" s="68"/>
    </row>
    <row r="52" customFormat="false" ht="15" hidden="false" customHeight="true" outlineLevel="1" collapsed="false">
      <c r="A52" s="68"/>
      <c r="B52" s="74" t="s">
        <v>513</v>
      </c>
      <c r="C52" s="98" t="n">
        <f aca="false">Engine!D138+Engine!D137+Engine!D136*(1-Engine!$C$36)+Engine!D139*0.2+Engine!D140*0.1</f>
        <v>788787.6</v>
      </c>
      <c r="D52" s="98" t="n">
        <f aca="false">Engine!D136+Engine!D137+Engine!D138+Engine!D139+Engine!D140</f>
        <v>1711850</v>
      </c>
      <c r="H52" s="68"/>
      <c r="I52" s="68"/>
      <c r="J52" s="68"/>
      <c r="K52" s="68"/>
      <c r="L52" s="68"/>
      <c r="M52" s="68"/>
      <c r="N52" s="68"/>
    </row>
    <row r="53" customFormat="false" ht="15" hidden="false" customHeight="true" outlineLevel="1" collapsed="false">
      <c r="A53" s="68"/>
      <c r="B53" s="74" t="s">
        <v>514</v>
      </c>
      <c r="C53" s="99" t="n">
        <f aca="false">C51-C52</f>
        <v>383271.6</v>
      </c>
      <c r="D53" s="99" t="n">
        <f aca="false">D51-D52</f>
        <v>-423796</v>
      </c>
      <c r="H53" s="68"/>
      <c r="I53" s="68"/>
      <c r="J53" s="68"/>
      <c r="K53" s="68"/>
      <c r="L53" s="68"/>
      <c r="M53" s="68"/>
      <c r="N53" s="68"/>
    </row>
    <row r="54" customFormat="false" ht="24" hidden="false" customHeight="true" outlineLevel="1" collapsed="false">
      <c r="A54" s="68"/>
      <c r="B54" s="74" t="s">
        <v>515</v>
      </c>
      <c r="C54" s="84" t="n">
        <f aca="false">ABS(C57)/C18</f>
        <v>0.347083739131087</v>
      </c>
      <c r="D54" s="113" t="n">
        <f aca="false">MAX(ABS(D57),ABS(D58),ABS(D59),ABS(D60),ABS(D61),ABS(D62))/Engine!D145</f>
        <v>0.132468370482625</v>
      </c>
      <c r="H54" s="68"/>
      <c r="I54" s="68"/>
      <c r="J54" s="68"/>
      <c r="K54" s="68"/>
      <c r="L54" s="68"/>
      <c r="M54" s="68"/>
      <c r="N54" s="68"/>
    </row>
    <row r="55" customFormat="false" ht="15" hidden="false" customHeight="true" outlineLevel="1" collapsed="false">
      <c r="A55" s="68"/>
      <c r="B55" s="77" t="s">
        <v>516</v>
      </c>
      <c r="C55" s="120" t="s">
        <v>86</v>
      </c>
      <c r="D55" s="98" t="n">
        <f aca="false">(E40*Engine!$C$176)+(E41*Engine!$C$177)+(E42*Engine!$C$178)+(E43*Engine!$C$179)+(E44*Engine!$C$180)+(E45*Engine!$C$181)+(E46*Engine!$C$182)</f>
        <v>-1945415.7702</v>
      </c>
      <c r="H55" s="67"/>
      <c r="I55" s="68"/>
      <c r="J55" s="68"/>
      <c r="K55" s="68"/>
      <c r="L55" s="68"/>
      <c r="M55" s="68"/>
      <c r="N55" s="68"/>
    </row>
    <row r="56" customFormat="false" ht="15" hidden="false" customHeight="true" outlineLevel="1" collapsed="false">
      <c r="A56" s="68"/>
      <c r="B56" s="69" t="s">
        <v>517</v>
      </c>
      <c r="C56" s="70" t="s">
        <v>518</v>
      </c>
      <c r="D56" s="70" t="s">
        <v>519</v>
      </c>
      <c r="H56" s="68"/>
      <c r="I56" s="68"/>
      <c r="J56" s="68"/>
      <c r="K56" s="68"/>
      <c r="L56" s="68"/>
      <c r="M56" s="68"/>
      <c r="N56" s="68"/>
    </row>
    <row r="57" customFormat="false" ht="15" hidden="false" customHeight="true" outlineLevel="1" collapsed="false">
      <c r="A57" s="68"/>
      <c r="B57" s="74" t="s">
        <v>520</v>
      </c>
      <c r="C57" s="98" t="n">
        <f aca="false">C53*Engine!$C$45/10000</f>
        <v>7665.432</v>
      </c>
      <c r="D57" s="98" t="n">
        <f aca="false">D55*Engine!$C$45/10000*(1-Engine!$C$256)</f>
        <v>-17508.7419318</v>
      </c>
      <c r="H57" s="68"/>
      <c r="I57" s="68"/>
      <c r="J57" s="68"/>
      <c r="K57" s="68"/>
      <c r="L57" s="68"/>
      <c r="M57" s="68"/>
      <c r="N57" s="68"/>
    </row>
    <row r="58" customFormat="false" ht="15" hidden="false" customHeight="true" outlineLevel="1" collapsed="false">
      <c r="A58" s="68"/>
      <c r="B58" s="74" t="s">
        <v>521</v>
      </c>
      <c r="C58" s="98" t="n">
        <f aca="false">C53*Engine!$C$46/10000*Engine!$C$184</f>
        <v>-6515.6172</v>
      </c>
      <c r="D58" s="98" t="n">
        <f aca="false">D55*ABS(Engine!$C$46)/10000*(-Engine!$C$184)*(1-Engine!$C$256)</f>
        <v>14882.43064203</v>
      </c>
      <c r="H58" s="68"/>
      <c r="I58" s="68"/>
      <c r="J58" s="68"/>
      <c r="K58" s="68"/>
      <c r="L58" s="68"/>
      <c r="M58" s="68"/>
      <c r="N58" s="68"/>
    </row>
    <row r="59" customFormat="false" ht="15" hidden="false" customHeight="true" outlineLevel="1" collapsed="false">
      <c r="A59" s="68"/>
      <c r="B59" s="74" t="s">
        <v>522</v>
      </c>
      <c r="C59" s="98" t="n">
        <f aca="false">C53*Engine!$C$47/10000</f>
        <v>3449.4444</v>
      </c>
      <c r="D59" s="98" t="n">
        <f aca="false">((E44*Engine!$C$180+E45*Engine!$C$181+E46*Engine!$C$182)-(E40*Engine!$C$176+E41*Engine!$C$177+E42*Engine!$C$178+E43*Engine!$C$179))*Engine!$C$47/10000*(1-Engine!$C$256)</f>
        <v>-8017.97903469</v>
      </c>
      <c r="H59" s="68"/>
      <c r="I59" s="68"/>
      <c r="J59" s="68"/>
      <c r="K59" s="68"/>
      <c r="L59" s="68"/>
      <c r="M59" s="68"/>
      <c r="N59" s="68"/>
    </row>
    <row r="60" customFormat="false" ht="15" hidden="false" customHeight="true" outlineLevel="1" collapsed="false">
      <c r="A60" s="68"/>
      <c r="B60" s="74" t="s">
        <v>523</v>
      </c>
      <c r="C60" s="98" t="n">
        <f aca="false">C53*Engine!$C$48/10000</f>
        <v>-3449.4444</v>
      </c>
      <c r="D60" s="98" t="n">
        <f aca="false">((E40*Engine!$C$176+E41*Engine!$C$177+E42*Engine!$C$178+E43*Engine!$C$179)-(E44*Engine!$C$180+E45*Engine!$C$181+E46*Engine!$C$182))*ABS(Engine!$C$48)/10000*(1-Engine!$C$256)</f>
        <v>8017.97903469</v>
      </c>
      <c r="H60" s="68"/>
      <c r="I60" s="68"/>
      <c r="J60" s="68"/>
      <c r="K60" s="68"/>
      <c r="L60" s="68"/>
      <c r="M60" s="68"/>
      <c r="N60" s="68"/>
    </row>
    <row r="61" customFormat="false" ht="15" hidden="false" customHeight="true" outlineLevel="1" collapsed="false">
      <c r="A61" s="68"/>
      <c r="B61" s="74" t="s">
        <v>236</v>
      </c>
      <c r="C61" s="98" t="n">
        <f aca="false">C53*Engine!$C$49/10000</f>
        <v>9581.79</v>
      </c>
      <c r="D61" s="98" t="n">
        <f aca="false">(E40*Engine!$C$176+E41*Engine!$C$177+E42*Engine!$C$178+E43*Engine!$C$179)*Engine!$C$49/10000*(1-Engine!$C$256)</f>
        <v>193.11828525</v>
      </c>
      <c r="H61" s="68"/>
      <c r="I61" s="68"/>
      <c r="J61" s="68"/>
      <c r="K61" s="68"/>
      <c r="L61" s="68"/>
      <c r="M61" s="68"/>
      <c r="N61" s="68"/>
    </row>
    <row r="62" customFormat="false" ht="15" hidden="false" customHeight="true" outlineLevel="1" collapsed="false">
      <c r="A62" s="68"/>
      <c r="B62" s="74" t="s">
        <v>239</v>
      </c>
      <c r="C62" s="98" t="n">
        <f aca="false">C53*Engine!$C$50/10000*Engine!$C$184</f>
        <v>-8144.5215</v>
      </c>
      <c r="D62" s="98" t="n">
        <f aca="false">(E40*Engine!$C$176+E41*Engine!$C$177+E42*Engine!$C$178+E43*Engine!$C$179)*ABS(Engine!$C$50)/10000*(-Engine!$C$184)*(1-Engine!$C$256)</f>
        <v>-164.1505424625</v>
      </c>
      <c r="H62" s="68"/>
      <c r="I62" s="68"/>
      <c r="J62" s="68"/>
      <c r="K62" s="68"/>
      <c r="L62" s="68"/>
      <c r="M62" s="68"/>
      <c r="N62" s="68"/>
    </row>
    <row r="63" customFormat="false" ht="15" hidden="false" customHeight="true" outlineLevel="1" collapsed="false">
      <c r="A63" s="68"/>
      <c r="B63" s="121" t="str">
        <f aca="false">IF(MAX(ABS(D57),ABS(D58),ABS(D59),ABS(D60),ABS(D61),ABS(D62))/Engine!D145&gt;Engine!C51,"⛔ EVE OUTLIER: "&amp;TEXT(MAX(ABS(D57),ABS(D58),ABS(D59),ABS(D60),ABS(D61),ABS(D62))/Engine!D145,"0.0%")&amp;" &gt; 15%","EVE OK: "&amp;TEXT(MAX(ABS(D57),ABS(D58),ABS(D59),ABS(D60),ABS(D61),ABS(D62))/Engine!D145,"0.0%"))</f>
        <v>EVE OK: 13.2%</v>
      </c>
      <c r="H63" s="68"/>
      <c r="I63" s="68"/>
      <c r="J63" s="68"/>
      <c r="K63" s="68"/>
      <c r="L63" s="68"/>
      <c r="M63" s="68"/>
      <c r="N63" s="68"/>
    </row>
    <row r="64" customFormat="false" ht="15" hidden="false" customHeight="true" outlineLevel="1" collapsed="false">
      <c r="A64" s="68"/>
      <c r="B64" s="121" t="str">
        <f aca="false">IF(ABS(C57)/C18&gt;Engine!C52,"NII sensitivity &gt;"&amp;TEXT(Engine!C52,"0%")&amp;": "&amp;TEXT(ABS(C57)/C18,"0.0%"),"NII OK: "&amp;TEXT(ABS(C57)/C18,"0.0%"))</f>
        <v>NII sensitivity &gt;5%: 34.7%</v>
      </c>
      <c r="H64" s="68"/>
      <c r="I64" s="68"/>
      <c r="J64" s="68"/>
      <c r="K64" s="68"/>
      <c r="L64" s="68"/>
      <c r="M64" s="68"/>
      <c r="N64" s="68"/>
    </row>
    <row r="65" customFormat="false" ht="15" hidden="false" customHeight="true" outlineLevel="1" collapsed="false">
      <c r="A65" s="68"/>
      <c r="B65" s="74" t="s">
        <v>524</v>
      </c>
      <c r="C65" s="99" t="str">
        <f aca="false">IF(ABS(D57)=D65,B57,IF(ABS(D58)=D65,B58,IF(ABS(D59)=D65,B59,IF(ABS(D60)=D65,B60,IF(ABS(D61)=D65,B61,B62)))))</f>
        <v>Parallel Up +200bps</v>
      </c>
      <c r="D65" s="99" t="n">
        <f aca="false">MAX(ABS(D57),ABS(D58),ABS(D59),ABS(D60),ABS(D61),ABS(D62))</f>
        <v>17508.7419318</v>
      </c>
      <c r="E65" s="120" t="s">
        <v>525</v>
      </c>
      <c r="F65" s="68"/>
      <c r="G65" s="68"/>
      <c r="H65" s="68"/>
      <c r="I65" s="68"/>
      <c r="J65" s="68"/>
      <c r="K65" s="68"/>
      <c r="L65" s="68"/>
      <c r="M65" s="68"/>
      <c r="N65" s="68"/>
    </row>
    <row r="66" customFormat="false" ht="18" hidden="false" customHeight="true" outlineLevel="1" collapsed="false">
      <c r="A66" s="68"/>
      <c r="B66" s="74" t="s">
        <v>526</v>
      </c>
      <c r="C66" s="99" t="str">
        <f aca="false">IF(ABS(C57)=D66,B57,IF(ABS(C58)=D66,B58,IF(ABS(C59)=D66,B59,IF(ABS(C60)=D66,B60,IF(ABS(C61)=D66,B61,B62)))))</f>
        <v>Short Rate Up</v>
      </c>
      <c r="D66" s="99" t="n">
        <f aca="false">MAX(ABS(C57),ABS(C58),ABS(C59),ABS(C60),ABS(C61),ABS(C62))</f>
        <v>9581.79</v>
      </c>
      <c r="E66" s="120" t="s">
        <v>527</v>
      </c>
      <c r="F66" s="68"/>
      <c r="G66" s="68"/>
      <c r="H66" s="68"/>
      <c r="I66" s="68"/>
      <c r="J66" s="68"/>
      <c r="K66" s="68"/>
      <c r="L66" s="68"/>
      <c r="M66" s="68"/>
      <c r="N66" s="68"/>
    </row>
    <row r="67" customFormat="false" ht="15" hidden="false" customHeight="true" outlineLevel="1" collapsed="false">
      <c r="A67" s="68"/>
      <c r="B67" s="67"/>
      <c r="C67" s="67"/>
      <c r="D67" s="67"/>
      <c r="E67" s="67"/>
      <c r="F67" s="67"/>
      <c r="G67" s="67"/>
      <c r="H67" s="67"/>
      <c r="I67" s="68"/>
      <c r="J67" s="68"/>
      <c r="K67" s="68"/>
      <c r="L67" s="68"/>
      <c r="M67" s="68"/>
      <c r="N67" s="68"/>
    </row>
    <row r="68" customFormat="false" ht="27.75" hidden="false" customHeight="true" outlineLevel="0" collapsed="false">
      <c r="A68" s="64"/>
      <c r="B68" s="79" t="s">
        <v>528</v>
      </c>
      <c r="C68" s="79"/>
      <c r="D68" s="79"/>
      <c r="E68" s="79"/>
      <c r="F68" s="79"/>
      <c r="G68" s="79"/>
      <c r="H68" s="79"/>
      <c r="I68" s="79"/>
      <c r="J68" s="79"/>
      <c r="K68" s="79"/>
      <c r="L68" s="78"/>
      <c r="M68" s="68"/>
      <c r="N68" s="68"/>
    </row>
    <row r="69" customFormat="false" ht="15" hidden="false" customHeight="true" outlineLevel="1" collapsed="false">
      <c r="A69" s="68"/>
      <c r="B69" s="69" t="s">
        <v>509</v>
      </c>
      <c r="C69" s="70" t="s">
        <v>529</v>
      </c>
      <c r="D69" s="70" t="s">
        <v>52</v>
      </c>
      <c r="E69" s="70" t="s">
        <v>53</v>
      </c>
      <c r="F69" s="70" t="s">
        <v>54</v>
      </c>
      <c r="H69" s="68"/>
      <c r="I69" s="68"/>
      <c r="J69" s="68"/>
      <c r="K69" s="68"/>
      <c r="L69" s="68"/>
      <c r="M69" s="68"/>
      <c r="N69" s="68"/>
    </row>
    <row r="70" customFormat="false" ht="15" hidden="false" customHeight="true" outlineLevel="1" collapsed="false">
      <c r="A70" s="68"/>
      <c r="B70" s="72" t="s">
        <v>530</v>
      </c>
      <c r="C70" s="98" t="n">
        <f aca="false">Engine!D126</f>
        <v>211330</v>
      </c>
      <c r="D70" s="98" t="n">
        <f aca="false">Engine!E126*(1-Engine!$C$56)</f>
        <v>214325.326591599</v>
      </c>
      <c r="E70" s="98" t="n">
        <f aca="false">Engine!F126*(1-Engine!$C$56)</f>
        <v>217157.600723092</v>
      </c>
      <c r="F70" s="98" t="n">
        <f aca="false">Engine!G126*(1-Engine!$C$56)</f>
        <v>219876.4204556</v>
      </c>
      <c r="H70" s="68"/>
      <c r="I70" s="68"/>
      <c r="J70" s="68"/>
      <c r="K70" s="68"/>
      <c r="L70" s="68"/>
      <c r="M70" s="68"/>
      <c r="N70" s="68"/>
    </row>
    <row r="71" customFormat="false" ht="15" hidden="false" customHeight="true" outlineLevel="1" collapsed="false">
      <c r="A71" s="68"/>
      <c r="B71" s="72" t="s">
        <v>531</v>
      </c>
      <c r="C71" s="98" t="n">
        <f aca="false">Engine!D130*Engine!C38</f>
        <v>110237.04</v>
      </c>
      <c r="D71" s="98" t="n">
        <f aca="false">Engine!E130*Engine!$C$38*(1-Engine!$C$57)</f>
        <v>113544.1512</v>
      </c>
      <c r="E71" s="98" t="n">
        <f aca="false">Engine!F130*Engine!$C$38*(1-Engine!$C$57)</f>
        <v>116950.475736</v>
      </c>
      <c r="F71" s="98" t="n">
        <f aca="false">Engine!G130*Engine!$C$38*(1-Engine!$C$57)</f>
        <v>120458.99000808</v>
      </c>
      <c r="H71" s="68"/>
      <c r="I71" s="68"/>
      <c r="J71" s="68"/>
      <c r="K71" s="68"/>
      <c r="L71" s="68"/>
      <c r="M71" s="68"/>
      <c r="N71" s="68"/>
    </row>
    <row r="72" customFormat="false" ht="15" hidden="false" customHeight="true" outlineLevel="1" collapsed="false">
      <c r="A72" s="68"/>
      <c r="B72" s="72" t="s">
        <v>532</v>
      </c>
      <c r="C72" s="98" t="n">
        <f aca="false">Engine!D130*Engine!C39</f>
        <v>42869.96</v>
      </c>
      <c r="D72" s="98" t="n">
        <f aca="false">Engine!E130*Engine!$C$39*(1-Engine!$C$58)</f>
        <v>37532.64998</v>
      </c>
      <c r="E72" s="98" t="n">
        <f aca="false">Engine!F130*Engine!$C$39*(1-Engine!$C$58)</f>
        <v>38658.6294794</v>
      </c>
      <c r="F72" s="98" t="n">
        <f aca="false">Engine!G130*Engine!$C$39*(1-Engine!$C$58)</f>
        <v>39818.388363782</v>
      </c>
      <c r="H72" s="68"/>
      <c r="I72" s="68"/>
      <c r="J72" s="68"/>
      <c r="K72" s="68"/>
      <c r="L72" s="68"/>
      <c r="M72" s="68"/>
      <c r="N72" s="68"/>
    </row>
    <row r="73" customFormat="false" ht="15" hidden="false" customHeight="true" outlineLevel="1" collapsed="false">
      <c r="A73" s="68"/>
      <c r="B73" s="74" t="s">
        <v>533</v>
      </c>
      <c r="C73" s="99" t="n">
        <f aca="false">0</f>
        <v>0</v>
      </c>
      <c r="D73" s="99" t="n">
        <f aca="false">0</f>
        <v>0</v>
      </c>
      <c r="E73" s="99" t="n">
        <f aca="false">0</f>
        <v>0</v>
      </c>
      <c r="F73" s="99" t="n">
        <f aca="false">0</f>
        <v>0</v>
      </c>
      <c r="H73" s="68"/>
      <c r="I73" s="68"/>
      <c r="J73" s="68"/>
      <c r="K73" s="68"/>
      <c r="L73" s="68"/>
      <c r="M73" s="68"/>
      <c r="N73" s="68"/>
    </row>
    <row r="74" customFormat="false" ht="15" hidden="false" customHeight="true" outlineLevel="1" collapsed="false">
      <c r="A74" s="68"/>
      <c r="B74" s="77" t="s">
        <v>534</v>
      </c>
      <c r="C74" s="99" t="n">
        <f aca="false">SUM(C70:C73)</f>
        <v>364437</v>
      </c>
      <c r="D74" s="99" t="n">
        <f aca="false">SUM(D70:D73)</f>
        <v>365402.127771599</v>
      </c>
      <c r="E74" s="99" t="n">
        <f aca="false">SUM(E70:E73)</f>
        <v>372766.705938492</v>
      </c>
      <c r="F74" s="99" t="n">
        <f aca="false">SUM(F70:F73)</f>
        <v>380153.798827462</v>
      </c>
      <c r="G74" s="68"/>
      <c r="H74" s="68"/>
      <c r="I74" s="68"/>
      <c r="J74" s="68"/>
      <c r="K74" s="68"/>
      <c r="L74" s="68"/>
      <c r="M74" s="68"/>
      <c r="N74" s="68"/>
    </row>
    <row r="75" customFormat="false" ht="24" hidden="false" customHeight="true" outlineLevel="1" collapsed="false">
      <c r="A75" s="68"/>
      <c r="B75" s="67"/>
      <c r="C75" s="67"/>
      <c r="D75" s="67"/>
      <c r="E75" s="67"/>
      <c r="F75" s="67"/>
      <c r="G75" s="67"/>
      <c r="H75" s="67"/>
      <c r="I75" s="68"/>
      <c r="J75" s="68"/>
      <c r="K75" s="68"/>
      <c r="L75" s="68"/>
      <c r="M75" s="68"/>
      <c r="N75" s="68"/>
    </row>
    <row r="76" customFormat="false" ht="24" hidden="false" customHeight="true" outlineLevel="1" collapsed="false">
      <c r="A76" s="68"/>
      <c r="B76" s="6" t="s">
        <v>535</v>
      </c>
      <c r="C76" s="6"/>
      <c r="D76" s="6"/>
      <c r="E76" s="6"/>
      <c r="F76" s="6"/>
      <c r="G76" s="6"/>
      <c r="H76" s="6"/>
      <c r="I76" s="79"/>
      <c r="J76" s="79"/>
      <c r="K76" s="79"/>
      <c r="L76" s="68"/>
      <c r="M76" s="68"/>
      <c r="N76" s="68"/>
    </row>
    <row r="77" customFormat="false" ht="24" hidden="false" customHeight="true" outlineLevel="1" collapsed="false">
      <c r="A77" s="68"/>
      <c r="B77" s="74" t="s">
        <v>536</v>
      </c>
      <c r="C77" s="98" t="n">
        <f aca="false">Engine!D136*0.7*Engine!C61</f>
        <v>37644.74</v>
      </c>
      <c r="D77" s="98" t="n">
        <f aca="false">Engine!E136*0.7*Engine!$C$61</f>
        <v>38585.8585</v>
      </c>
      <c r="E77" s="98" t="n">
        <f aca="false">Engine!F136*0.7*Engine!$C$61</f>
        <v>39550.5049625</v>
      </c>
      <c r="F77" s="98" t="n">
        <f aca="false">Engine!G136*0.7*Engine!$C$61</f>
        <v>40539.2675865625</v>
      </c>
      <c r="H77" s="68"/>
      <c r="I77" s="68"/>
      <c r="J77" s="68"/>
      <c r="K77" s="68"/>
      <c r="L77" s="68"/>
      <c r="M77" s="68"/>
      <c r="N77" s="68"/>
    </row>
    <row r="78" customFormat="false" ht="24" hidden="false" customHeight="true" outlineLevel="1" collapsed="false">
      <c r="A78" s="68"/>
      <c r="B78" s="74" t="s">
        <v>537</v>
      </c>
      <c r="C78" s="98" t="n">
        <f aca="false">Engine!D136*0.3*Engine!C62</f>
        <v>32266.92</v>
      </c>
      <c r="D78" s="98" t="n">
        <f aca="false">Engine!E136*0.3*Engine!$C$62</f>
        <v>33073.593</v>
      </c>
      <c r="E78" s="98" t="n">
        <f aca="false">Engine!F136*0.3*Engine!$C$62</f>
        <v>33900.432825</v>
      </c>
      <c r="F78" s="98" t="n">
        <f aca="false">Engine!G136*0.3*Engine!$C$62</f>
        <v>34747.943645625</v>
      </c>
      <c r="H78" s="68"/>
      <c r="I78" s="68"/>
      <c r="J78" s="68"/>
      <c r="K78" s="68"/>
      <c r="L78" s="68"/>
      <c r="M78" s="68"/>
      <c r="N78" s="68"/>
    </row>
    <row r="79" customFormat="false" ht="15" hidden="false" customHeight="true" outlineLevel="1" collapsed="false">
      <c r="A79" s="68"/>
      <c r="B79" s="74" t="s">
        <v>538</v>
      </c>
      <c r="C79" s="98" t="n">
        <f aca="false">Engine!D139*Engine!C63</f>
        <v>43483.25</v>
      </c>
      <c r="D79" s="98" t="n">
        <f aca="false">Engine!E139*Engine!$C$63</f>
        <v>43483.25</v>
      </c>
      <c r="E79" s="98" t="n">
        <f aca="false">Engine!F139*Engine!$C$63</f>
        <v>43483.25</v>
      </c>
      <c r="F79" s="98" t="n">
        <f aca="false">Engine!G139*Engine!$C$63</f>
        <v>43483.25</v>
      </c>
      <c r="H79" s="68"/>
      <c r="I79" s="68"/>
      <c r="J79" s="68"/>
      <c r="K79" s="68"/>
      <c r="L79" s="68"/>
      <c r="M79" s="68"/>
      <c r="N79" s="68"/>
    </row>
    <row r="80" customFormat="false" ht="15" hidden="false" customHeight="true" outlineLevel="1" collapsed="false">
      <c r="A80" s="68"/>
      <c r="B80" s="74" t="s">
        <v>539</v>
      </c>
      <c r="C80" s="98" t="n">
        <f aca="false">Engine!D137*Engine!C64</f>
        <v>69938</v>
      </c>
      <c r="D80" s="98" t="n">
        <f aca="false">Engine!E137*Engine!$C$64</f>
        <v>69938</v>
      </c>
      <c r="E80" s="98" t="n">
        <f aca="false">Engine!F137*Engine!$C$64</f>
        <v>69938</v>
      </c>
      <c r="F80" s="98" t="n">
        <f aca="false">Engine!G137*Engine!$C$64</f>
        <v>69938</v>
      </c>
      <c r="H80" s="68"/>
      <c r="I80" s="68"/>
      <c r="J80" s="68"/>
      <c r="K80" s="68"/>
      <c r="L80" s="68"/>
      <c r="M80" s="68"/>
      <c r="N80" s="68"/>
    </row>
    <row r="81" customFormat="false" ht="24" hidden="false" customHeight="true" outlineLevel="1" collapsed="false">
      <c r="A81" s="68"/>
      <c r="B81" s="74" t="s">
        <v>540</v>
      </c>
      <c r="C81" s="98" t="n">
        <f aca="false">Engine!D138*Engine!C38*Engine!C65</f>
        <v>0</v>
      </c>
      <c r="D81" s="98" t="n">
        <f aca="false">Engine!E138*Engine!$C$38*Engine!$C$65</f>
        <v>0</v>
      </c>
      <c r="E81" s="98" t="n">
        <f aca="false">Engine!F138*Engine!$C$38*Engine!$C$65</f>
        <v>0</v>
      </c>
      <c r="F81" s="98" t="n">
        <f aca="false">Engine!G138*Engine!$C$38*Engine!$C$65</f>
        <v>0</v>
      </c>
      <c r="H81" s="68"/>
      <c r="I81" s="68"/>
      <c r="J81" s="68"/>
      <c r="K81" s="68"/>
      <c r="L81" s="68"/>
      <c r="M81" s="68"/>
      <c r="N81" s="68"/>
    </row>
    <row r="82" customFormat="false" ht="24" hidden="false" customHeight="true" outlineLevel="1" collapsed="false">
      <c r="A82" s="68"/>
      <c r="B82" s="74" t="s">
        <v>541</v>
      </c>
      <c r="C82" s="98" t="n">
        <f aca="false">Engine!D138*Engine!C39*Engine!C66</f>
        <v>15033.774</v>
      </c>
      <c r="D82" s="98" t="n">
        <f aca="false">Engine!E138*Engine!$C$39*Engine!$C$66</f>
        <v>15033.774</v>
      </c>
      <c r="E82" s="98" t="n">
        <f aca="false">Engine!F138*Engine!$C$39*Engine!$C$66</f>
        <v>15033.774</v>
      </c>
      <c r="F82" s="98" t="n">
        <f aca="false">Engine!G138*Engine!$C$39*Engine!$C$66</f>
        <v>15033.774</v>
      </c>
      <c r="H82" s="68"/>
      <c r="I82" s="68"/>
      <c r="J82" s="68"/>
      <c r="K82" s="68"/>
      <c r="L82" s="68"/>
      <c r="M82" s="68"/>
      <c r="N82" s="68"/>
    </row>
    <row r="83" customFormat="false" ht="15" hidden="false" customHeight="true" outlineLevel="1" collapsed="false">
      <c r="A83" s="68"/>
      <c r="B83" s="74" t="s">
        <v>542</v>
      </c>
      <c r="C83" s="98" t="n">
        <f aca="false">Engine!D126*Engine!$C$186*Engine!$C$68</f>
        <v>7924.875</v>
      </c>
      <c r="D83" s="98" t="n">
        <f aca="false">Engine!E126*0.15*Engine!$C$68</f>
        <v>8037.19974718495</v>
      </c>
      <c r="E83" s="98" t="n">
        <f aca="false">Engine!F126*0.15*Engine!$C$68</f>
        <v>8143.41002711595</v>
      </c>
      <c r="F83" s="98" t="n">
        <f aca="false">Engine!G126*0.15*Engine!$C$68</f>
        <v>8245.36576708499</v>
      </c>
      <c r="H83" s="68"/>
      <c r="I83" s="68"/>
      <c r="J83" s="68"/>
      <c r="K83" s="68"/>
      <c r="L83" s="68"/>
      <c r="M83" s="68"/>
      <c r="N83" s="68"/>
    </row>
    <row r="84" customFormat="false" ht="15" hidden="false" customHeight="true" outlineLevel="1" collapsed="false">
      <c r="A84" s="68"/>
      <c r="B84" s="74" t="s">
        <v>543</v>
      </c>
      <c r="C84" s="98" t="n">
        <f aca="false">Engine!D128*Engine!C67</f>
        <v>89735.8</v>
      </c>
      <c r="D84" s="98" t="n">
        <f aca="false">Engine!E128*Engine!$C$67</f>
        <v>92427.874</v>
      </c>
      <c r="E84" s="98" t="n">
        <f aca="false">Engine!F128*Engine!$C$67</f>
        <v>95200.71022</v>
      </c>
      <c r="F84" s="98" t="n">
        <f aca="false">Engine!G128*Engine!$C$67</f>
        <v>98056.7315266</v>
      </c>
      <c r="H84" s="68"/>
      <c r="I84" s="68"/>
      <c r="J84" s="68"/>
      <c r="K84" s="68"/>
      <c r="L84" s="68"/>
      <c r="M84" s="68"/>
      <c r="N84" s="68"/>
    </row>
    <row r="85" customFormat="false" ht="15" hidden="false" customHeight="true" outlineLevel="1" collapsed="false">
      <c r="A85" s="68"/>
      <c r="B85" s="77" t="s">
        <v>544</v>
      </c>
      <c r="C85" s="99" t="n">
        <f aca="false">SUM(C77:C84)</f>
        <v>296027.359</v>
      </c>
      <c r="D85" s="99" t="n">
        <f aca="false">SUM(D77:D84)</f>
        <v>300579.549247185</v>
      </c>
      <c r="E85" s="99" t="n">
        <f aca="false">SUM(E77:E84)</f>
        <v>305250.082034616</v>
      </c>
      <c r="F85" s="99" t="n">
        <f aca="false">SUM(F77:F84)</f>
        <v>310044.332525872</v>
      </c>
      <c r="H85" s="68"/>
      <c r="I85" s="68"/>
      <c r="J85" s="68"/>
      <c r="K85" s="68"/>
      <c r="L85" s="68"/>
      <c r="M85" s="68"/>
      <c r="N85" s="68"/>
    </row>
    <row r="86" customFormat="false" ht="15" hidden="false" customHeight="true" outlineLevel="1" collapsed="false">
      <c r="A86" s="68"/>
      <c r="B86" s="67"/>
      <c r="C86" s="67"/>
      <c r="D86" s="67"/>
      <c r="E86" s="67"/>
      <c r="F86" s="67"/>
      <c r="H86" s="67"/>
      <c r="I86" s="68"/>
      <c r="J86" s="68"/>
      <c r="K86" s="68"/>
      <c r="L86" s="68"/>
      <c r="M86" s="68"/>
      <c r="N86" s="68"/>
    </row>
    <row r="87" customFormat="false" ht="24" hidden="false" customHeight="true" outlineLevel="1" collapsed="false">
      <c r="A87" s="68"/>
      <c r="B87" s="6" t="s">
        <v>545</v>
      </c>
      <c r="C87" s="6"/>
      <c r="D87" s="6"/>
      <c r="E87" s="6"/>
      <c r="F87" s="6"/>
      <c r="G87" s="6"/>
      <c r="H87" s="6"/>
      <c r="I87" s="68"/>
      <c r="J87" s="68"/>
      <c r="K87" s="68"/>
      <c r="L87" s="68"/>
      <c r="M87" s="68"/>
      <c r="N87" s="68"/>
    </row>
    <row r="88" customFormat="false" ht="15" hidden="false" customHeight="true" outlineLevel="1" collapsed="false">
      <c r="A88" s="68"/>
      <c r="B88" s="74" t="s">
        <v>546</v>
      </c>
      <c r="C88" s="98" t="n">
        <f aca="false">Engine!D128*0.1*Engine!C69</f>
        <v>44867.9</v>
      </c>
      <c r="D88" s="122" t="n">
        <f aca="false">Engine!E128*0.1*Engine!$C$69</f>
        <v>46213.937</v>
      </c>
      <c r="E88" s="98" t="n">
        <f aca="false">Engine!F128*0.1*Engine!$C$69</f>
        <v>47600.35511</v>
      </c>
      <c r="F88" s="98" t="n">
        <f aca="false">Engine!G128*0.1*Engine!$C$69</f>
        <v>49028.3657633</v>
      </c>
      <c r="H88" s="68"/>
      <c r="I88" s="68"/>
      <c r="J88" s="68"/>
      <c r="K88" s="68"/>
      <c r="L88" s="68"/>
      <c r="M88" s="68"/>
      <c r="N88" s="68"/>
    </row>
    <row r="89" customFormat="false" ht="15" hidden="false" customHeight="true" outlineLevel="1" collapsed="false">
      <c r="A89" s="68"/>
      <c r="B89" s="74" t="s">
        <v>547</v>
      </c>
      <c r="C89" s="98" t="n">
        <f aca="false">(E70+E71)*0.05*Engine!C70</f>
        <v>16705.4038229546</v>
      </c>
      <c r="D89" s="122" t="n">
        <f aca="false">(D70+D71)*0.05*Engine!$C$70</f>
        <v>16393.4738895799</v>
      </c>
      <c r="E89" s="98" t="n">
        <f aca="false">(E70+E71)*0.05*Engine!$C$70</f>
        <v>16705.4038229546</v>
      </c>
      <c r="F89" s="98" t="n">
        <f aca="false">(F70+F71)*0.05*Engine!$C$70</f>
        <v>17016.770523184</v>
      </c>
      <c r="H89" s="68"/>
      <c r="I89" s="68"/>
      <c r="J89" s="68"/>
      <c r="K89" s="68"/>
      <c r="L89" s="68"/>
      <c r="M89" s="68"/>
      <c r="N89" s="68"/>
    </row>
    <row r="90" customFormat="false" ht="15" hidden="false" customHeight="true" outlineLevel="1" collapsed="false">
      <c r="A90" s="68"/>
      <c r="B90" s="77" t="s">
        <v>548</v>
      </c>
      <c r="C90" s="99" t="n">
        <f aca="false">SUM(C88:C89)</f>
        <v>61573.3038229546</v>
      </c>
      <c r="D90" s="98" t="n">
        <f aca="false">SUM(D88:D89)</f>
        <v>62607.4108895799</v>
      </c>
      <c r="E90" s="99" t="n">
        <f aca="false">SUM(E88:E89)</f>
        <v>64305.7589329546</v>
      </c>
      <c r="F90" s="99" t="n">
        <f aca="false">SUM(F88:F89)</f>
        <v>66045.136286484</v>
      </c>
      <c r="H90" s="68"/>
      <c r="I90" s="68"/>
      <c r="J90" s="68"/>
      <c r="K90" s="68"/>
      <c r="L90" s="68"/>
      <c r="M90" s="68"/>
      <c r="N90" s="68"/>
    </row>
    <row r="91" customFormat="false" ht="18" hidden="false" customHeight="true" outlineLevel="1" collapsed="false">
      <c r="A91" s="68"/>
      <c r="B91" s="72" t="s">
        <v>549</v>
      </c>
      <c r="C91" s="98" t="n">
        <f aca="false">MIN(C90,C85*Engine!C71)</f>
        <v>61573.3038229546</v>
      </c>
      <c r="D91" s="98" t="n">
        <f aca="false">MIN(D90,D85*Engine!$C$71)</f>
        <v>62607.4108895799</v>
      </c>
      <c r="E91" s="98" t="n">
        <f aca="false">MIN(E90,E85*Engine!$C$71)</f>
        <v>64305.7589329546</v>
      </c>
      <c r="F91" s="98" t="n">
        <f aca="false">MIN(F90,F85*Engine!$C$71)</f>
        <v>66045.136286484</v>
      </c>
      <c r="H91" s="68"/>
      <c r="I91" s="68"/>
      <c r="J91" s="68"/>
      <c r="K91" s="68"/>
      <c r="L91" s="68"/>
      <c r="M91" s="68"/>
      <c r="N91" s="68"/>
    </row>
    <row r="92" customFormat="false" ht="15" hidden="false" customHeight="true" outlineLevel="1" collapsed="false">
      <c r="A92" s="68"/>
      <c r="B92" s="72" t="s">
        <v>550</v>
      </c>
      <c r="C92" s="99" t="n">
        <f aca="false">C85-C91</f>
        <v>234454.055177045</v>
      </c>
      <c r="D92" s="99" t="n">
        <f aca="false">D85-D91</f>
        <v>237972.138357605</v>
      </c>
      <c r="E92" s="99" t="n">
        <f aca="false">E85-E91</f>
        <v>240944.323101661</v>
      </c>
      <c r="F92" s="99" t="n">
        <f aca="false">F85-F91</f>
        <v>243999.196239388</v>
      </c>
      <c r="H92" s="68"/>
      <c r="I92" s="68"/>
      <c r="J92" s="68"/>
      <c r="K92" s="68"/>
      <c r="L92" s="68"/>
      <c r="M92" s="68"/>
      <c r="N92" s="68"/>
    </row>
    <row r="93" customFormat="false" ht="15" hidden="false" customHeight="true" outlineLevel="1" collapsed="false">
      <c r="A93" s="68"/>
      <c r="B93" s="72" t="s">
        <v>551</v>
      </c>
      <c r="C93" s="84" t="n">
        <f aca="false">C74/C92</f>
        <v>1.55440689530748</v>
      </c>
      <c r="D93" s="84" t="n">
        <f aca="false">D74/D92</f>
        <v>1.53548281027127</v>
      </c>
      <c r="E93" s="84" t="n">
        <f aca="false">E74/E92</f>
        <v>1.54710723680844</v>
      </c>
      <c r="F93" s="84" t="n">
        <f aca="false">F74/F92</f>
        <v>1.55801250449404</v>
      </c>
      <c r="H93" s="68"/>
      <c r="I93" s="68"/>
      <c r="J93" s="68"/>
      <c r="K93" s="68"/>
      <c r="L93" s="68"/>
      <c r="M93" s="68"/>
      <c r="N93" s="68"/>
    </row>
    <row r="94" customFormat="false" ht="18" hidden="false" customHeight="true" outlineLevel="1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</row>
    <row r="95" customFormat="false" ht="27.75" hidden="false" customHeight="true" outlineLevel="1" collapsed="false">
      <c r="A95" s="68"/>
      <c r="B95" s="67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</row>
    <row r="96" customFormat="false" ht="15" hidden="false" customHeight="true" outlineLevel="0" collapsed="false">
      <c r="A96" s="64"/>
      <c r="B96" s="79" t="s">
        <v>552</v>
      </c>
      <c r="C96" s="79"/>
      <c r="D96" s="79"/>
      <c r="E96" s="79"/>
      <c r="F96" s="79"/>
      <c r="G96" s="79"/>
      <c r="H96" s="79"/>
      <c r="I96" s="79"/>
      <c r="J96" s="79"/>
      <c r="K96" s="79"/>
      <c r="L96" s="78"/>
      <c r="M96" s="68"/>
      <c r="N96" s="68"/>
    </row>
    <row r="97" customFormat="false" ht="15" hidden="false" customHeight="true" outlineLevel="1" collapsed="false">
      <c r="A97" s="68"/>
      <c r="B97" s="80" t="s">
        <v>553</v>
      </c>
      <c r="C97" s="80"/>
      <c r="D97" s="80"/>
      <c r="E97" s="80"/>
      <c r="F97" s="80"/>
      <c r="G97" s="80"/>
      <c r="H97" s="80"/>
      <c r="I97" s="68"/>
      <c r="J97" s="68"/>
      <c r="K97" s="68"/>
      <c r="L97" s="68"/>
      <c r="M97" s="68"/>
      <c r="N97" s="68"/>
    </row>
    <row r="98" customFormat="false" ht="15" hidden="false" customHeight="true" outlineLevel="1" collapsed="false">
      <c r="A98" s="68"/>
      <c r="B98" s="31" t="s">
        <v>554</v>
      </c>
      <c r="C98" s="123" t="s">
        <v>51</v>
      </c>
      <c r="D98" s="123"/>
      <c r="E98" s="123" t="s">
        <v>52</v>
      </c>
      <c r="F98" s="123"/>
      <c r="G98" s="123" t="s">
        <v>53</v>
      </c>
      <c r="H98" s="123"/>
      <c r="I98" s="124" t="s">
        <v>54</v>
      </c>
      <c r="J98" s="124"/>
      <c r="K98" s="68"/>
      <c r="L98" s="68"/>
      <c r="M98" s="68"/>
      <c r="N98" s="68"/>
    </row>
    <row r="99" customFormat="false" ht="15" hidden="false" customHeight="true" outlineLevel="1" collapsed="false">
      <c r="A99" s="68"/>
      <c r="B99" s="74" t="s">
        <v>555</v>
      </c>
      <c r="C99" s="98" t="n">
        <f aca="false">Engine!D145</f>
        <v>132173</v>
      </c>
      <c r="D99" s="98" t="n">
        <f aca="false">C99*Engine!C75</f>
        <v>132173</v>
      </c>
      <c r="E99" s="98" t="n">
        <f aca="false">Engine!E145</f>
        <v>136650.416591599</v>
      </c>
      <c r="F99" s="98" t="n">
        <f aca="false">E99*Engine!$C$75</f>
        <v>136650.416591599</v>
      </c>
      <c r="G99" s="98" t="n">
        <f aca="false">Engine!F145</f>
        <v>141206.544123092</v>
      </c>
      <c r="H99" s="98" t="n">
        <f aca="false">G99*Engine!$C$75</f>
        <v>141206.544123092</v>
      </c>
      <c r="I99" s="98" t="n">
        <f aca="false">Engine!G145</f>
        <v>145902.2232471</v>
      </c>
      <c r="J99" s="98" t="n">
        <f aca="false">I99*Engine!$C$75</f>
        <v>145902.2232471</v>
      </c>
      <c r="K99" s="68"/>
      <c r="L99" s="68"/>
      <c r="M99" s="68"/>
      <c r="N99" s="68"/>
    </row>
    <row r="100" customFormat="false" ht="15" hidden="false" customHeight="true" outlineLevel="1" collapsed="false">
      <c r="A100" s="68"/>
      <c r="B100" s="74" t="s">
        <v>556</v>
      </c>
      <c r="C100" s="98" t="n">
        <f aca="false">Engine!D136*0.7</f>
        <v>752894.8</v>
      </c>
      <c r="D100" s="98" t="n">
        <f aca="false">C100*Engine!C76</f>
        <v>677605.32</v>
      </c>
      <c r="E100" s="98" t="n">
        <f aca="false">Engine!E136*0.7</f>
        <v>771717.17</v>
      </c>
      <c r="F100" s="98" t="n">
        <f aca="false">E100*Engine!$C$76</f>
        <v>694545.453</v>
      </c>
      <c r="G100" s="98" t="n">
        <f aca="false">Engine!F136*0.7</f>
        <v>791010.09925</v>
      </c>
      <c r="H100" s="98" t="n">
        <f aca="false">G100*Engine!$C$76</f>
        <v>711909.089325</v>
      </c>
      <c r="I100" s="98" t="n">
        <f aca="false">Engine!G136*0.7</f>
        <v>810785.35173125</v>
      </c>
      <c r="J100" s="98" t="n">
        <f aca="false">I100*Engine!$C$76</f>
        <v>729706.816558125</v>
      </c>
      <c r="K100" s="68"/>
      <c r="L100" s="68"/>
      <c r="M100" s="68"/>
      <c r="N100" s="68"/>
    </row>
    <row r="101" customFormat="false" ht="15" hidden="false" customHeight="true" outlineLevel="1" collapsed="false">
      <c r="A101" s="68"/>
      <c r="B101" s="74" t="s">
        <v>557</v>
      </c>
      <c r="C101" s="98" t="n">
        <f aca="false">Engine!D136*0.3</f>
        <v>322669.2</v>
      </c>
      <c r="D101" s="98" t="n">
        <f aca="false">C101*Engine!C77</f>
        <v>258135.36</v>
      </c>
      <c r="E101" s="98" t="n">
        <f aca="false">Engine!E136*0.3</f>
        <v>330735.93</v>
      </c>
      <c r="F101" s="98" t="n">
        <f aca="false">E101*Engine!$C$77</f>
        <v>264588.744</v>
      </c>
      <c r="G101" s="98" t="n">
        <f aca="false">Engine!F136*0.3</f>
        <v>339004.32825</v>
      </c>
      <c r="H101" s="98" t="n">
        <f aca="false">G101*Engine!$C$77</f>
        <v>271203.4626</v>
      </c>
      <c r="I101" s="98" t="n">
        <f aca="false">Engine!G136*0.3</f>
        <v>347479.43645625</v>
      </c>
      <c r="J101" s="98" t="n">
        <f aca="false">I101*Engine!$C$77</f>
        <v>277983.549165</v>
      </c>
      <c r="K101" s="68"/>
      <c r="L101" s="68"/>
      <c r="M101" s="68"/>
      <c r="N101" s="68"/>
    </row>
    <row r="102" customFormat="false" ht="15" hidden="false" customHeight="true" outlineLevel="1" collapsed="false">
      <c r="A102" s="68"/>
      <c r="B102" s="74" t="s">
        <v>558</v>
      </c>
      <c r="C102" s="98" t="n">
        <f aca="false">Engine!D139</f>
        <v>173933</v>
      </c>
      <c r="D102" s="98" t="n">
        <f aca="false">C102*Engine!C78</f>
        <v>173933</v>
      </c>
      <c r="E102" s="98" t="n">
        <f aca="false">Engine!E139</f>
        <v>173933</v>
      </c>
      <c r="F102" s="98" t="n">
        <f aca="false">E102*Engine!$C$78</f>
        <v>173933</v>
      </c>
      <c r="G102" s="98" t="n">
        <f aca="false">Engine!F139</f>
        <v>173933</v>
      </c>
      <c r="H102" s="98" t="n">
        <f aca="false">G102*Engine!$C$78</f>
        <v>173933</v>
      </c>
      <c r="I102" s="98" t="n">
        <f aca="false">Engine!G139</f>
        <v>173933</v>
      </c>
      <c r="J102" s="98" t="n">
        <f aca="false">I102*Engine!$C$78</f>
        <v>173933</v>
      </c>
      <c r="K102" s="68"/>
      <c r="L102" s="68"/>
      <c r="M102" s="68"/>
      <c r="N102" s="68"/>
    </row>
    <row r="103" customFormat="false" ht="15" hidden="false" customHeight="true" outlineLevel="1" collapsed="false">
      <c r="A103" s="68"/>
      <c r="B103" s="74" t="s">
        <v>559</v>
      </c>
      <c r="C103" s="98" t="n">
        <f aca="false">Engine!D140</f>
        <v>34468</v>
      </c>
      <c r="D103" s="98" t="n">
        <f aca="false">C103*Engine!C82</f>
        <v>17234</v>
      </c>
      <c r="E103" s="98" t="n">
        <f aca="false">Engine!E140</f>
        <v>34468</v>
      </c>
      <c r="F103" s="98" t="n">
        <f aca="false">E103*Engine!$C$82</f>
        <v>17234</v>
      </c>
      <c r="G103" s="98" t="n">
        <f aca="false">Engine!F140</f>
        <v>34468</v>
      </c>
      <c r="H103" s="98" t="n">
        <f aca="false">G103*Engine!$C$82</f>
        <v>17234</v>
      </c>
      <c r="I103" s="98" t="n">
        <f aca="false">Engine!G140</f>
        <v>34468</v>
      </c>
      <c r="J103" s="98" t="n">
        <f aca="false">I103*Engine!$C$82</f>
        <v>17234</v>
      </c>
      <c r="K103" s="68"/>
      <c r="L103" s="68"/>
      <c r="M103" s="68"/>
      <c r="N103" s="68"/>
    </row>
    <row r="104" customFormat="false" ht="15" hidden="false" customHeight="true" outlineLevel="1" collapsed="false">
      <c r="A104" s="68"/>
      <c r="B104" s="74" t="s">
        <v>560</v>
      </c>
      <c r="C104" s="98" t="n">
        <f aca="false">Engine!D137</f>
        <v>69938</v>
      </c>
      <c r="D104" s="98" t="n">
        <f aca="false">C104*Engine!C80</f>
        <v>0</v>
      </c>
      <c r="E104" s="98" t="n">
        <f aca="false">Engine!E137</f>
        <v>69938</v>
      </c>
      <c r="F104" s="98" t="n">
        <f aca="false">E104*Engine!$C$80</f>
        <v>0</v>
      </c>
      <c r="G104" s="98" t="n">
        <f aca="false">Engine!F137</f>
        <v>69938</v>
      </c>
      <c r="H104" s="98" t="n">
        <f aca="false">G104*Engine!$C$80</f>
        <v>0</v>
      </c>
      <c r="I104" s="98" t="n">
        <f aca="false">Engine!G137</f>
        <v>69938</v>
      </c>
      <c r="J104" s="98" t="n">
        <f aca="false">I104*Engine!$C$80</f>
        <v>0</v>
      </c>
      <c r="K104" s="68"/>
      <c r="L104" s="68"/>
      <c r="M104" s="68"/>
      <c r="N104" s="68"/>
    </row>
    <row r="105" customFormat="false" ht="15" hidden="false" customHeight="true" outlineLevel="1" collapsed="false">
      <c r="A105" s="68"/>
      <c r="B105" s="74" t="s">
        <v>561</v>
      </c>
      <c r="C105" s="98" t="n">
        <f aca="false">Engine!D138</f>
        <v>357947</v>
      </c>
      <c r="D105" s="98" t="n">
        <f aca="false">C105*Engine!C81</f>
        <v>35794.7</v>
      </c>
      <c r="E105" s="98" t="n">
        <f aca="false">Engine!E138</f>
        <v>357947</v>
      </c>
      <c r="F105" s="98" t="n">
        <f aca="false">E105*Engine!$C$81</f>
        <v>35794.7</v>
      </c>
      <c r="G105" s="98" t="n">
        <f aca="false">Engine!F138</f>
        <v>357947</v>
      </c>
      <c r="H105" s="98" t="n">
        <f aca="false">G105*Engine!$C$81</f>
        <v>35794.7</v>
      </c>
      <c r="I105" s="98" t="n">
        <f aca="false">Engine!G138</f>
        <v>357947</v>
      </c>
      <c r="J105" s="98" t="n">
        <f aca="false">I105*Engine!$C$81</f>
        <v>35794.7</v>
      </c>
      <c r="K105" s="68"/>
      <c r="L105" s="68"/>
      <c r="M105" s="68"/>
      <c r="N105" s="68"/>
    </row>
    <row r="106" customFormat="false" ht="15" hidden="false" customHeight="true" outlineLevel="1" collapsed="false">
      <c r="A106" s="68"/>
      <c r="B106" s="74" t="s">
        <v>562</v>
      </c>
      <c r="C106" s="98" t="n">
        <f aca="false">'Master Balance Sheet'!D25</f>
        <v>4401</v>
      </c>
      <c r="D106" s="98" t="n">
        <f aca="false">C106*Engine!C83</f>
        <v>0</v>
      </c>
      <c r="E106" s="125" t="n">
        <f aca="false">'Master Balance Sheet'!D25</f>
        <v>4401</v>
      </c>
      <c r="F106" s="98" t="n">
        <f aca="false">E106*Engine!$C$83</f>
        <v>0</v>
      </c>
      <c r="G106" s="125" t="n">
        <f aca="false">'Master Balance Sheet'!D25</f>
        <v>4401</v>
      </c>
      <c r="H106" s="98" t="n">
        <f aca="false">G106*Engine!$C$83</f>
        <v>0</v>
      </c>
      <c r="I106" s="125" t="n">
        <f aca="false">'Master Balance Sheet'!D25</f>
        <v>4401</v>
      </c>
      <c r="J106" s="98" t="n">
        <f aca="false">I106*Engine!$C$83</f>
        <v>0</v>
      </c>
      <c r="K106" s="68"/>
      <c r="L106" s="68"/>
      <c r="M106" s="68"/>
      <c r="N106" s="68"/>
    </row>
    <row r="107" customFormat="false" ht="15" hidden="false" customHeight="true" outlineLevel="1" collapsed="false">
      <c r="A107" s="68"/>
      <c r="B107" s="77" t="s">
        <v>563</v>
      </c>
      <c r="C107" s="99" t="n">
        <f aca="false">SUM(C99:C106)</f>
        <v>1848424</v>
      </c>
      <c r="D107" s="99" t="n">
        <f aca="false">SUM(D99:D106)</f>
        <v>1294875.38</v>
      </c>
      <c r="E107" s="118"/>
      <c r="F107" s="99" t="n">
        <f aca="false">SUM(F99:F106)</f>
        <v>1322746.3135916</v>
      </c>
      <c r="G107" s="118"/>
      <c r="H107" s="99" t="n">
        <f aca="false">SUM(H99:H106)</f>
        <v>1351280.79604809</v>
      </c>
      <c r="I107" s="118"/>
      <c r="J107" s="99" t="n">
        <f aca="false">SUM(J99:J106)</f>
        <v>1380554.28897023</v>
      </c>
      <c r="K107" s="68"/>
      <c r="L107" s="68"/>
      <c r="M107" s="68"/>
      <c r="N107" s="68"/>
    </row>
    <row r="108" customFormat="false" ht="15" hidden="false" customHeight="true" outlineLevel="1" collapsed="false">
      <c r="A108" s="68"/>
      <c r="B108" s="67"/>
      <c r="C108" s="67"/>
      <c r="D108" s="67"/>
      <c r="E108" s="67"/>
      <c r="F108" s="67"/>
      <c r="G108" s="67"/>
      <c r="H108" s="67"/>
      <c r="I108" s="68"/>
      <c r="J108" s="68"/>
      <c r="K108" s="68"/>
      <c r="L108" s="68"/>
      <c r="M108" s="68"/>
      <c r="N108" s="68"/>
    </row>
    <row r="109" customFormat="false" ht="15" hidden="false" customHeight="true" outlineLevel="1" collapsed="false">
      <c r="A109" s="68"/>
      <c r="B109" s="31" t="s">
        <v>564</v>
      </c>
      <c r="C109" s="123" t="s">
        <v>51</v>
      </c>
      <c r="D109" s="123"/>
      <c r="E109" s="123" t="s">
        <v>52</v>
      </c>
      <c r="F109" s="123"/>
      <c r="G109" s="123" t="s">
        <v>53</v>
      </c>
      <c r="H109" s="123"/>
      <c r="I109" s="124" t="s">
        <v>54</v>
      </c>
      <c r="J109" s="124"/>
      <c r="K109" s="68"/>
      <c r="L109" s="68"/>
      <c r="M109" s="68"/>
      <c r="N109" s="68"/>
    </row>
    <row r="110" customFormat="false" ht="15" hidden="false" customHeight="true" outlineLevel="1" collapsed="false">
      <c r="A110" s="68"/>
      <c r="B110" s="72" t="s">
        <v>565</v>
      </c>
      <c r="C110" s="98" t="n">
        <f aca="false">Engine!D128</f>
        <v>897358</v>
      </c>
      <c r="D110" s="98" t="n">
        <f aca="false">Engine!D128*Engine!$C$188*Engine!$C$84+Engine!D128*(1-Engine!$C$188)*Engine!$C$85</f>
        <v>684235.475</v>
      </c>
      <c r="E110" s="98" t="n">
        <f aca="false">Engine!E128</f>
        <v>924278.74</v>
      </c>
      <c r="F110" s="98" t="n">
        <f aca="false">E110*Engine!$C$84</f>
        <v>785636.929</v>
      </c>
      <c r="G110" s="98" t="n">
        <f aca="false">Engine!F128</f>
        <v>952007.1022</v>
      </c>
      <c r="H110" s="98" t="n">
        <f aca="false">G110*Engine!$C$84</f>
        <v>809206.03687</v>
      </c>
      <c r="I110" s="98" t="n">
        <f aca="false">Engine!G128</f>
        <v>980567.315266</v>
      </c>
      <c r="J110" s="98" t="n">
        <f aca="false">I110*Engine!$C$84</f>
        <v>833482.2179761</v>
      </c>
      <c r="K110" s="68"/>
      <c r="L110" s="68"/>
      <c r="M110" s="68"/>
      <c r="N110" s="68"/>
    </row>
    <row r="111" customFormat="false" ht="15" hidden="false" customHeight="true" outlineLevel="1" collapsed="false">
      <c r="A111" s="68"/>
      <c r="B111" s="72" t="s">
        <v>566</v>
      </c>
      <c r="C111" s="98" t="n">
        <f aca="false">Engine!D130*Engine!C38</f>
        <v>110237.04</v>
      </c>
      <c r="D111" s="98" t="n">
        <f aca="false">C111*Engine!C86</f>
        <v>5511.852</v>
      </c>
      <c r="E111" s="98" t="n">
        <f aca="false">Engine!E130*Engine!$C$38</f>
        <v>113544.1512</v>
      </c>
      <c r="F111" s="98" t="n">
        <f aca="false">E111*Engine!$C$86</f>
        <v>5677.20756</v>
      </c>
      <c r="G111" s="98" t="n">
        <f aca="false">Engine!F130*Engine!$C$38</f>
        <v>116950.475736</v>
      </c>
      <c r="H111" s="98" t="n">
        <f aca="false">G111*Engine!$C$86</f>
        <v>5847.5237868</v>
      </c>
      <c r="I111" s="98" t="n">
        <f aca="false">Engine!G130*Engine!$C$38</f>
        <v>120458.99000808</v>
      </c>
      <c r="J111" s="98" t="n">
        <f aca="false">I111*Engine!$C$86</f>
        <v>6022.949500404</v>
      </c>
      <c r="K111" s="68"/>
      <c r="L111" s="68"/>
      <c r="M111" s="68"/>
      <c r="N111" s="68"/>
    </row>
    <row r="112" customFormat="false" ht="15" hidden="false" customHeight="true" outlineLevel="1" collapsed="false">
      <c r="A112" s="68"/>
      <c r="B112" s="72" t="s">
        <v>567</v>
      </c>
      <c r="C112" s="98" t="n">
        <f aca="false">Engine!D130*Engine!C39</f>
        <v>42869.96</v>
      </c>
      <c r="D112" s="98" t="n">
        <f aca="false">C112*Engine!C87</f>
        <v>6430.494</v>
      </c>
      <c r="E112" s="98" t="n">
        <f aca="false">Engine!E130*Engine!$C$39</f>
        <v>44156.0588</v>
      </c>
      <c r="F112" s="98" t="n">
        <f aca="false">E112*Engine!$C$87</f>
        <v>6623.40882</v>
      </c>
      <c r="G112" s="98" t="n">
        <f aca="false">Engine!F130*Engine!$C$39</f>
        <v>45480.740564</v>
      </c>
      <c r="H112" s="98" t="n">
        <f aca="false">G112*Engine!$C$87</f>
        <v>6822.1110846</v>
      </c>
      <c r="I112" s="98" t="n">
        <f aca="false">Engine!G130*Engine!$C$39</f>
        <v>46845.16278092</v>
      </c>
      <c r="J112" s="98" t="n">
        <f aca="false">I112*Engine!$C$87</f>
        <v>7026.774417138</v>
      </c>
      <c r="K112" s="68"/>
      <c r="L112" s="68"/>
      <c r="M112" s="68"/>
      <c r="N112" s="68"/>
    </row>
    <row r="113" customFormat="false" ht="15" hidden="false" customHeight="true" outlineLevel="1" collapsed="false">
      <c r="A113" s="68"/>
      <c r="B113" s="74" t="s">
        <v>568</v>
      </c>
      <c r="C113" s="98" t="n">
        <f aca="false">'Master Balance Sheet'!D15</f>
        <v>305471</v>
      </c>
      <c r="D113" s="98" t="n">
        <f aca="false">C113*Engine!C88</f>
        <v>305471</v>
      </c>
      <c r="E113" s="125" t="n">
        <f aca="false">'Master Balance Sheet'!D15*1.02</f>
        <v>311580.42</v>
      </c>
      <c r="F113" s="98" t="n">
        <f aca="false">E113*Engine!$C$88</f>
        <v>311580.42</v>
      </c>
      <c r="G113" s="125" t="n">
        <f aca="false">E113*1.02</f>
        <v>317812.0284</v>
      </c>
      <c r="H113" s="98" t="n">
        <f aca="false">G113*Engine!$C$88</f>
        <v>317812.0284</v>
      </c>
      <c r="I113" s="125" t="n">
        <f aca="false">G113*1.02</f>
        <v>324168.268968</v>
      </c>
      <c r="J113" s="98" t="n">
        <f aca="false">I113*Engine!$C$88</f>
        <v>324168.268968</v>
      </c>
      <c r="K113" s="68"/>
      <c r="L113" s="68"/>
      <c r="M113" s="68"/>
      <c r="N113" s="68"/>
    </row>
    <row r="114" customFormat="false" ht="15" hidden="false" customHeight="true" outlineLevel="1" collapsed="false">
      <c r="A114" s="68"/>
      <c r="B114" s="72" t="s">
        <v>569</v>
      </c>
      <c r="C114" s="98" t="n">
        <f aca="false">Engine!D129</f>
        <v>26259</v>
      </c>
      <c r="D114" s="98" t="n">
        <f aca="false">C114*Engine!C90</f>
        <v>2625.9</v>
      </c>
      <c r="E114" s="98" t="n">
        <f aca="false">Engine!E129</f>
        <v>26259</v>
      </c>
      <c r="F114" s="98" t="n">
        <f aca="false">E114*Engine!$C$90</f>
        <v>2625.9</v>
      </c>
      <c r="G114" s="98" t="n">
        <f aca="false">Engine!F129</f>
        <v>26259</v>
      </c>
      <c r="H114" s="98" t="n">
        <f aca="false">G114*Engine!$C$90</f>
        <v>2625.9</v>
      </c>
      <c r="I114" s="98" t="n">
        <f aca="false">Engine!G129</f>
        <v>26259</v>
      </c>
      <c r="J114" s="98" t="n">
        <f aca="false">I114*Engine!$C$90</f>
        <v>2625.9</v>
      </c>
      <c r="K114" s="68"/>
      <c r="L114" s="68"/>
      <c r="M114" s="68"/>
      <c r="N114" s="68"/>
    </row>
    <row r="115" customFormat="false" ht="18" hidden="false" customHeight="true" outlineLevel="1" collapsed="false">
      <c r="A115" s="68"/>
      <c r="B115" s="72" t="s">
        <v>570</v>
      </c>
      <c r="C115" s="98" t="n">
        <f aca="false">Engine!D126</f>
        <v>211330</v>
      </c>
      <c r="D115" s="98" t="n">
        <f aca="false">C115*Engine!C89</f>
        <v>0</v>
      </c>
      <c r="E115" s="98" t="n">
        <f aca="false">Engine!E126</f>
        <v>214325.326591599</v>
      </c>
      <c r="F115" s="98" t="n">
        <f aca="false">E115*Engine!$C$89</f>
        <v>0</v>
      </c>
      <c r="G115" s="98" t="n">
        <f aca="false">Engine!F126</f>
        <v>217157.600723092</v>
      </c>
      <c r="H115" s="98" t="n">
        <f aca="false">G115*Engine!$C$89</f>
        <v>0</v>
      </c>
      <c r="I115" s="98" t="n">
        <f aca="false">Engine!G126</f>
        <v>219876.4204556</v>
      </c>
      <c r="J115" s="98" t="n">
        <f aca="false">I115*Engine!$C$89</f>
        <v>0</v>
      </c>
      <c r="K115" s="68"/>
      <c r="L115" s="68"/>
      <c r="M115" s="68"/>
      <c r="N115" s="68"/>
    </row>
    <row r="116" customFormat="false" ht="15" hidden="false" customHeight="true" outlineLevel="1" collapsed="false">
      <c r="A116" s="68"/>
      <c r="B116" s="77" t="s">
        <v>571</v>
      </c>
      <c r="C116" s="99" t="n">
        <f aca="false">SUM(C110:C115)</f>
        <v>1593525</v>
      </c>
      <c r="D116" s="99" t="n">
        <f aca="false">SUM(D110:D115)+Engine!D127*Engine!$C$258</f>
        <v>1178323.721</v>
      </c>
      <c r="E116" s="126"/>
      <c r="F116" s="99" t="n">
        <f aca="false">SUM(F110:F115)+Engine!E127*Engine!$C$258</f>
        <v>1286192.86538</v>
      </c>
      <c r="G116" s="126"/>
      <c r="H116" s="99" t="n">
        <f aca="false">SUM(H110:H115)+Engine!F127*Engine!$C$258</f>
        <v>1316362.6001414</v>
      </c>
      <c r="I116" s="118"/>
      <c r="J116" s="99" t="n">
        <f aca="false">SUM(J110:J115)+Engine!G127*Engine!$C$258</f>
        <v>1347375.11086164</v>
      </c>
      <c r="K116" s="68"/>
      <c r="L116" s="68"/>
      <c r="M116" s="68"/>
      <c r="N116" s="68"/>
    </row>
    <row r="117" customFormat="false" ht="15" hidden="false" customHeight="true" outlineLevel="1" collapsed="false">
      <c r="A117" s="68"/>
      <c r="B117" s="72" t="s">
        <v>572</v>
      </c>
      <c r="C117" s="99" t="n">
        <f aca="false">D107/D116</f>
        <v>1.09891310590021</v>
      </c>
      <c r="D117" s="127"/>
      <c r="E117" s="88"/>
      <c r="F117" s="99" t="n">
        <f aca="false">F107/F116</f>
        <v>1.02841988102678</v>
      </c>
      <c r="G117" s="88"/>
      <c r="H117" s="99" t="n">
        <f aca="false">H107/H116</f>
        <v>1.02652627467762</v>
      </c>
      <c r="I117" s="68"/>
      <c r="J117" s="99" t="n">
        <f aca="false">J107/J116</f>
        <v>1.02462504898682</v>
      </c>
      <c r="K117" s="68"/>
      <c r="L117" s="68"/>
      <c r="M117" s="68"/>
      <c r="N117" s="68"/>
    </row>
    <row r="118" customFormat="false" ht="18" hidden="false" customHeight="true" outlineLevel="1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</row>
    <row r="119" customFormat="false" ht="15" hidden="false" customHeight="true" outlineLevel="1" collapsed="false">
      <c r="A119" s="68"/>
      <c r="B119" s="67"/>
      <c r="C119" s="67"/>
      <c r="D119" s="67"/>
      <c r="E119" s="67"/>
      <c r="F119" s="67"/>
      <c r="G119" s="67"/>
      <c r="H119" s="67"/>
      <c r="I119" s="68"/>
      <c r="J119" s="68"/>
      <c r="K119" s="68"/>
      <c r="L119" s="68"/>
      <c r="M119" s="68"/>
      <c r="N119" s="68"/>
    </row>
    <row r="120" customFormat="false" ht="15" hidden="false" customHeight="true" outlineLevel="0" collapsed="false">
      <c r="A120" s="64"/>
      <c r="B120" s="79" t="str">
        <f aca="false">"SECTION 7 — CAPITAL | CRR ART. 92 | Forecast 2025A–2028F | Scenario: "&amp;CHOOSE(Engine!C4,"Base","Rate Hike","Rate Cut","Stress")</f>
        <v>SECTION 7 — CAPITAL | CRR ART. 92 | Forecast 2025A–2028F | Scenario: Base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8"/>
      <c r="M120" s="68"/>
      <c r="N120" s="68"/>
    </row>
    <row r="121" customFormat="false" ht="15" hidden="false" customHeight="true" outlineLevel="1" collapsed="false">
      <c r="A121" s="68"/>
      <c r="B121" s="69" t="s">
        <v>573</v>
      </c>
      <c r="C121" s="70" t="s">
        <v>51</v>
      </c>
      <c r="D121" s="70" t="s">
        <v>52</v>
      </c>
      <c r="E121" s="70" t="s">
        <v>53</v>
      </c>
      <c r="F121" s="70" t="s">
        <v>574</v>
      </c>
      <c r="G121" s="88"/>
      <c r="H121" s="68"/>
      <c r="I121" s="68"/>
      <c r="J121" s="68"/>
      <c r="K121" s="68"/>
      <c r="L121" s="68"/>
      <c r="M121" s="68"/>
      <c r="N121" s="68"/>
    </row>
    <row r="122" customFormat="false" ht="15" hidden="false" customHeight="true" outlineLevel="1" collapsed="false">
      <c r="A122" s="68"/>
      <c r="B122" s="74" t="s">
        <v>575</v>
      </c>
      <c r="C122" s="98" t="n">
        <f aca="false">Engine!D128*0.75+Engine!D130*0.2+Engine!D129*0.2+Engine!D127*Engine!$C$190</f>
        <v>839428.45</v>
      </c>
      <c r="D122" s="98" t="n">
        <f aca="false">Engine!E128*0.75+Engine!E130*0.2+Engine!E129*0.2+Engine!E127*Engine!$C$190</f>
        <v>860537.647</v>
      </c>
      <c r="E122" s="98" t="n">
        <f aca="false">Engine!F128*0.75+Engine!F130*0.2+Engine!F129*0.2+Engine!F127*Engine!$C$190</f>
        <v>882280.11991</v>
      </c>
      <c r="F122" s="98" t="n">
        <f aca="false">Engine!G128*0.75+Engine!G130*0.2+Engine!G129*0.2+Engine!G127*Engine!$C$190</f>
        <v>904674.8670073</v>
      </c>
      <c r="G122" s="128"/>
      <c r="H122" s="68"/>
      <c r="I122" s="68"/>
      <c r="J122" s="68"/>
      <c r="K122" s="68"/>
      <c r="L122" s="68"/>
      <c r="M122" s="68"/>
      <c r="N122" s="68"/>
    </row>
    <row r="123" customFormat="false" ht="15" hidden="false" customHeight="true" outlineLevel="1" collapsed="false">
      <c r="A123" s="68"/>
      <c r="B123" s="74" t="s">
        <v>576</v>
      </c>
      <c r="C123" s="113" t="n">
        <f aca="false">Engine!D145/C122</f>
        <v>0.157455945173171</v>
      </c>
      <c r="D123" s="113" t="n">
        <f aca="false">Engine!E145/D122</f>
        <v>0.158796558254004</v>
      </c>
      <c r="E123" s="113" t="n">
        <f aca="false">Engine!F145/E122</f>
        <v>0.16004729216555</v>
      </c>
      <c r="F123" s="113" t="n">
        <f aca="false">Engine!G145/F122</f>
        <v>0.16127586668761</v>
      </c>
      <c r="G123" s="128"/>
      <c r="H123" s="68"/>
      <c r="I123" s="68"/>
      <c r="J123" s="68"/>
      <c r="K123" s="68"/>
      <c r="L123" s="68"/>
      <c r="M123" s="68"/>
      <c r="N123" s="68"/>
    </row>
    <row r="124" customFormat="false" ht="15" hidden="false" customHeight="true" outlineLevel="1" collapsed="false">
      <c r="A124" s="68"/>
      <c r="B124" s="74" t="s">
        <v>577</v>
      </c>
      <c r="C124" s="113" t="n">
        <f aca="false">Engine!D145/Engine!D132</f>
        <v>0.0473232721597462</v>
      </c>
      <c r="D124" s="113" t="n">
        <f aca="false">Engine!E145/Engine!E132</f>
        <v>0.048220985163881</v>
      </c>
      <c r="E124" s="113" t="n">
        <f aca="false">Engine!F145/Engine!F132</f>
        <v>0.0491061128979473</v>
      </c>
      <c r="F124" s="113" t="n">
        <f aca="false">Engine!G145/Engine!G132</f>
        <v>0.0499979281014863</v>
      </c>
      <c r="G124" s="128"/>
      <c r="H124" s="68"/>
      <c r="I124" s="68"/>
      <c r="J124" s="68"/>
      <c r="K124" s="68"/>
      <c r="L124" s="68"/>
      <c r="M124" s="68"/>
      <c r="N124" s="68"/>
    </row>
    <row r="125" customFormat="false" ht="15" hidden="false" customHeight="true" outlineLevel="1" collapsed="false">
      <c r="A125" s="68"/>
      <c r="B125" s="74" t="s">
        <v>578</v>
      </c>
      <c r="C125" s="113" t="n">
        <f aca="false">C123-Engine!$C$95</f>
        <v>0.0224559451731711</v>
      </c>
      <c r="D125" s="113" t="n">
        <f aca="false">D123-Engine!$C$95</f>
        <v>0.0237965582540039</v>
      </c>
      <c r="E125" s="113" t="n">
        <f aca="false">E123-Engine!$C$95</f>
        <v>0.0250472921655498</v>
      </c>
      <c r="F125" s="113" t="n">
        <f aca="false">F123-Engine!$C$95</f>
        <v>0.0262758666876097</v>
      </c>
      <c r="G125" s="128"/>
      <c r="H125" s="68"/>
      <c r="I125" s="68"/>
      <c r="J125" s="68"/>
      <c r="K125" s="68"/>
      <c r="L125" s="68"/>
      <c r="M125" s="68"/>
      <c r="N125" s="68"/>
    </row>
    <row r="126" customFormat="false" ht="18" hidden="false" customHeight="true" outlineLevel="1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</row>
    <row r="127" customFormat="false" ht="15" hidden="false" customHeight="true" outlineLevel="1" collapsed="false">
      <c r="A127" s="68"/>
      <c r="B127" s="67"/>
      <c r="C127" s="67"/>
      <c r="D127" s="67"/>
      <c r="E127" s="67"/>
      <c r="F127" s="67"/>
      <c r="G127" s="67"/>
      <c r="H127" s="67"/>
      <c r="I127" s="68"/>
      <c r="J127" s="68"/>
      <c r="K127" s="68"/>
      <c r="L127" s="68"/>
      <c r="M127" s="68"/>
      <c r="N127" s="68"/>
    </row>
    <row r="128" customFormat="false" ht="15" hidden="false" customHeight="true" outlineLevel="0" collapsed="false">
      <c r="A128" s="64"/>
      <c r="B128" s="79" t="s">
        <v>579</v>
      </c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68"/>
      <c r="N128" s="68"/>
    </row>
    <row r="129" customFormat="false" ht="15" hidden="false" customHeight="true" outlineLevel="1" collapsed="false">
      <c r="A129" s="68"/>
      <c r="B129" s="69" t="s">
        <v>509</v>
      </c>
      <c r="C129" s="70" t="s">
        <v>109</v>
      </c>
      <c r="D129" s="70" t="s">
        <v>51</v>
      </c>
      <c r="E129" s="70" t="s">
        <v>52</v>
      </c>
      <c r="F129" s="70" t="s">
        <v>53</v>
      </c>
      <c r="G129" s="70" t="s">
        <v>54</v>
      </c>
      <c r="H129" s="68"/>
      <c r="I129" s="68"/>
      <c r="J129" s="68"/>
      <c r="K129" s="68"/>
      <c r="L129" s="68"/>
      <c r="M129" s="68"/>
      <c r="N129" s="68"/>
    </row>
    <row r="130" customFormat="false" ht="15" hidden="false" customHeight="true" outlineLevel="1" collapsed="false">
      <c r="A130" s="68"/>
      <c r="B130" s="74" t="s">
        <v>580</v>
      </c>
      <c r="C130" s="98" t="n">
        <f aca="false">Engine!C126+Engine!C128+Engine!C129+Engine!C130</f>
        <v>1262369</v>
      </c>
      <c r="D130" s="98" t="n">
        <f aca="false">(C130+Engine!D126+Engine!D128+Engine!D129+Engine!D130)/2</f>
        <v>1275211.5</v>
      </c>
      <c r="E130" s="98" t="n">
        <f aca="false">(Engine!D126+Engine!D128+Engine!D129+Engine!D130+Engine!E126+Engine!E128+Engine!E129+Engine!E130)/2</f>
        <v>1305308.6382958</v>
      </c>
      <c r="F130" s="98" t="n">
        <f aca="false">(Engine!E126+Engine!E128+Engine!E129+Engine!E130+Engine!F126+Engine!F128+Engine!F129+Engine!F130)/2</f>
        <v>1340209.09790735</v>
      </c>
      <c r="G130" s="98" t="n">
        <f aca="false">(Engine!F126+Engine!F128+Engine!F129+Engine!F130+Engine!G126+Engine!G128+Engine!G129+Engine!G130)/2</f>
        <v>1375930.90386685</v>
      </c>
      <c r="I130" s="68"/>
      <c r="J130" s="68"/>
      <c r="K130" s="68"/>
      <c r="L130" s="68"/>
      <c r="M130" s="68"/>
      <c r="N130" s="68"/>
    </row>
    <row r="131" customFormat="false" ht="27.75" hidden="false" customHeight="true" outlineLevel="1" collapsed="false">
      <c r="A131" s="68"/>
      <c r="B131" s="74" t="s">
        <v>581</v>
      </c>
      <c r="C131" s="98" t="n">
        <f aca="false">(Engine!C126*Engine!C14)+(Engine!C128*Engine!C116)+(Engine!C129*Engine!C121)+(Engine!C130*Engine!C119)-(Engine!C136*Engine!C117)-(Engine!C137*Engine!C121)-(Engine!C138*Engine!C118)-(Engine!C139*Engine!C120)-(Engine!C140*Engine!C122)</f>
        <v>16065.71895</v>
      </c>
      <c r="D131" s="99" t="n">
        <f aca="false">C23</f>
        <v>22085.25245</v>
      </c>
      <c r="E131" s="99" t="n">
        <f aca="false">D23</f>
        <v>22685.668548311</v>
      </c>
      <c r="F131" s="99" t="n">
        <f aca="false">E23</f>
        <v>23224.9233783616</v>
      </c>
      <c r="G131" s="99" t="n">
        <f aca="false">F23</f>
        <v>24295.9454104467</v>
      </c>
      <c r="I131" s="68"/>
      <c r="J131" s="68"/>
      <c r="K131" s="68"/>
      <c r="L131" s="68"/>
      <c r="M131" s="68"/>
      <c r="N131" s="68"/>
    </row>
    <row r="132" customFormat="false" ht="15" hidden="false" customHeight="true" outlineLevel="1" collapsed="false">
      <c r="A132" s="68"/>
      <c r="B132" s="74" t="s">
        <v>582</v>
      </c>
      <c r="C132" s="84" t="n">
        <f aca="false">C131/C130</f>
        <v>0.0127266424872601</v>
      </c>
      <c r="D132" s="84" t="n">
        <f aca="false">D131/D130</f>
        <v>0.0173188937286089</v>
      </c>
      <c r="E132" s="84" t="n">
        <f aca="false">E131/E130</f>
        <v>0.017379543720732</v>
      </c>
      <c r="F132" s="84" t="n">
        <f aca="false">F131/F130</f>
        <v>0.0173293282478278</v>
      </c>
      <c r="G132" s="84" t="n">
        <f aca="false">G131/G130</f>
        <v>0.0176578237629278</v>
      </c>
      <c r="I132" s="68"/>
      <c r="J132" s="68"/>
      <c r="K132" s="68"/>
      <c r="L132" s="68"/>
      <c r="M132" s="68"/>
      <c r="N132" s="68"/>
    </row>
    <row r="133" customFormat="false" ht="18" hidden="false" customHeight="true" outlineLevel="1" collapsed="false">
      <c r="A133" s="68"/>
      <c r="B133" s="129"/>
      <c r="C133" s="129"/>
      <c r="D133" s="129"/>
      <c r="E133" s="129"/>
      <c r="F133" s="129"/>
      <c r="G133" s="129"/>
      <c r="H133" s="129"/>
      <c r="I133" s="68"/>
      <c r="J133" s="68"/>
      <c r="K133" s="68"/>
      <c r="L133" s="68"/>
      <c r="M133" s="68"/>
      <c r="N133" s="68"/>
    </row>
    <row r="134" customFormat="false" ht="15" hidden="false" customHeight="true" outlineLevel="1" collapsed="false">
      <c r="A134" s="68"/>
      <c r="B134" s="67"/>
      <c r="C134" s="67"/>
      <c r="D134" s="67"/>
      <c r="E134" s="67"/>
      <c r="F134" s="67"/>
      <c r="G134" s="67"/>
      <c r="H134" s="67"/>
      <c r="I134" s="68"/>
      <c r="J134" s="68"/>
      <c r="K134" s="68"/>
      <c r="L134" s="68"/>
      <c r="M134" s="68"/>
      <c r="N134" s="68"/>
    </row>
    <row r="135" customFormat="false" ht="15" hidden="false" customHeight="true" outlineLevel="0" collapsed="false">
      <c r="A135" s="64"/>
      <c r="B135" s="79" t="str">
        <f aca="false">"SECTION 9 — FORECAST REGULATORY RATIOS | Traffic Light Conditional Formatting | Scenario: "&amp;CHOOSE(Engine!C4,"Base","Rate Hike","Rate Cut","Stress")</f>
        <v>SECTION 9 — FORECAST REGULATORY RATIOS | Traffic Light Conditional Formatting | Scenario: Base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68"/>
      <c r="N135" s="68"/>
    </row>
    <row r="136" customFormat="false" ht="15" hidden="false" customHeight="true" outlineLevel="1" collapsed="false">
      <c r="A136" s="68"/>
      <c r="B136" s="69" t="s">
        <v>583</v>
      </c>
      <c r="C136" s="70" t="s">
        <v>584</v>
      </c>
      <c r="D136" s="70" t="s">
        <v>51</v>
      </c>
      <c r="E136" s="70" t="s">
        <v>52</v>
      </c>
      <c r="F136" s="70" t="s">
        <v>53</v>
      </c>
      <c r="G136" s="70" t="s">
        <v>54</v>
      </c>
      <c r="H136" s="68"/>
      <c r="I136" s="68"/>
      <c r="J136" s="68"/>
      <c r="K136" s="68"/>
      <c r="L136" s="68"/>
      <c r="M136" s="68"/>
      <c r="N136" s="68"/>
    </row>
    <row r="137" customFormat="false" ht="15" hidden="false" customHeight="true" outlineLevel="1" collapsed="false">
      <c r="A137" s="68"/>
      <c r="B137" s="74" t="s">
        <v>585</v>
      </c>
      <c r="C137" s="120" t="s">
        <v>86</v>
      </c>
      <c r="D137" s="84" t="n">
        <f aca="false">D132</f>
        <v>0.0173188937286089</v>
      </c>
      <c r="E137" s="84" t="n">
        <f aca="false">E132</f>
        <v>0.017379543720732</v>
      </c>
      <c r="F137" s="84" t="n">
        <f aca="false">F132</f>
        <v>0.0173293282478278</v>
      </c>
      <c r="G137" s="84" t="n">
        <f aca="false">G132</f>
        <v>0.0176578237629278</v>
      </c>
      <c r="H137" s="68"/>
      <c r="I137" s="68"/>
      <c r="J137" s="68"/>
      <c r="K137" s="68"/>
      <c r="L137" s="68"/>
      <c r="M137" s="68"/>
      <c r="N137" s="68"/>
    </row>
    <row r="138" customFormat="false" ht="15" hidden="false" customHeight="true" outlineLevel="1" collapsed="false">
      <c r="A138" s="68"/>
      <c r="B138" s="74" t="s">
        <v>586</v>
      </c>
      <c r="C138" s="120" t="s">
        <v>587</v>
      </c>
      <c r="D138" s="84" t="n">
        <f aca="false">C123</f>
        <v>0.157455945173171</v>
      </c>
      <c r="E138" s="84" t="n">
        <f aca="false">D123</f>
        <v>0.158796558254004</v>
      </c>
      <c r="F138" s="84" t="n">
        <f aca="false">E123</f>
        <v>0.16004729216555</v>
      </c>
      <c r="G138" s="84" t="n">
        <f aca="false">F123</f>
        <v>0.16127586668761</v>
      </c>
      <c r="H138" s="68"/>
      <c r="I138" s="68"/>
      <c r="J138" s="68"/>
      <c r="K138" s="68"/>
      <c r="L138" s="68"/>
      <c r="M138" s="68"/>
      <c r="N138" s="68"/>
    </row>
    <row r="139" customFormat="false" ht="15" hidden="false" customHeight="true" outlineLevel="1" collapsed="false">
      <c r="A139" s="68"/>
      <c r="B139" s="74" t="s">
        <v>588</v>
      </c>
      <c r="C139" s="120" t="s">
        <v>589</v>
      </c>
      <c r="D139" s="84" t="n">
        <f aca="false">C124</f>
        <v>0.0473232721597462</v>
      </c>
      <c r="E139" s="84" t="n">
        <f aca="false">D124</f>
        <v>0.048220985163881</v>
      </c>
      <c r="F139" s="84" t="n">
        <f aca="false">E124</f>
        <v>0.0491061128979473</v>
      </c>
      <c r="G139" s="84" t="n">
        <f aca="false">F124</f>
        <v>0.0499979281014863</v>
      </c>
      <c r="H139" s="68"/>
      <c r="I139" s="68"/>
      <c r="J139" s="68"/>
      <c r="K139" s="68"/>
      <c r="L139" s="68"/>
      <c r="M139" s="68"/>
      <c r="N139" s="68"/>
    </row>
    <row r="140" customFormat="false" ht="15" hidden="false" customHeight="true" outlineLevel="1" collapsed="false">
      <c r="A140" s="68"/>
      <c r="B140" s="74" t="s">
        <v>590</v>
      </c>
      <c r="C140" s="120" t="s">
        <v>591</v>
      </c>
      <c r="D140" s="84" t="n">
        <f aca="false">C93</f>
        <v>1.55440689530748</v>
      </c>
      <c r="E140" s="84" t="n">
        <f aca="false">D93</f>
        <v>1.53548281027127</v>
      </c>
      <c r="F140" s="84" t="n">
        <f aca="false">E93</f>
        <v>1.54710723680844</v>
      </c>
      <c r="G140" s="84" t="n">
        <f aca="false">F93</f>
        <v>1.55801250449404</v>
      </c>
      <c r="H140" s="68"/>
      <c r="I140" s="68"/>
      <c r="J140" s="68"/>
      <c r="K140" s="68"/>
      <c r="L140" s="68"/>
      <c r="M140" s="68"/>
      <c r="N140" s="68"/>
    </row>
    <row r="141" customFormat="false" ht="15" hidden="false" customHeight="true" outlineLevel="1" collapsed="false">
      <c r="A141" s="68"/>
      <c r="B141" s="74" t="s">
        <v>592</v>
      </c>
      <c r="C141" s="120" t="s">
        <v>593</v>
      </c>
      <c r="D141" s="130" t="n">
        <f aca="false">C117</f>
        <v>1.09891310590021</v>
      </c>
      <c r="E141" s="130" t="n">
        <f aca="false">F117</f>
        <v>1.02841988102678</v>
      </c>
      <c r="F141" s="130" t="n">
        <f aca="false">H117</f>
        <v>1.02652627467762</v>
      </c>
      <c r="G141" s="130" t="n">
        <f aca="false">J117</f>
        <v>1.02462504898682</v>
      </c>
      <c r="H141" s="68"/>
      <c r="I141" s="68"/>
      <c r="J141" s="68"/>
      <c r="K141" s="68"/>
      <c r="L141" s="68"/>
      <c r="M141" s="68"/>
      <c r="N141" s="68"/>
    </row>
    <row r="142" customFormat="false" ht="27.75" hidden="false" customHeight="true" outlineLevel="1" collapsed="false">
      <c r="A142" s="68"/>
      <c r="B142" s="77" t="s">
        <v>594</v>
      </c>
      <c r="C142" s="68"/>
      <c r="D142" s="99" t="n">
        <f aca="false">C31</f>
        <v>10979.74737825</v>
      </c>
      <c r="E142" s="99" t="n">
        <f aca="false">D31</f>
        <v>11193.5414789974</v>
      </c>
      <c r="F142" s="99" t="n">
        <f aca="false">E31</f>
        <v>11390.3188287327</v>
      </c>
      <c r="G142" s="99" t="n">
        <f aca="false">F31</f>
        <v>11739.1978100207</v>
      </c>
      <c r="I142" s="68"/>
      <c r="J142" s="68"/>
      <c r="K142" s="68"/>
      <c r="L142" s="68"/>
      <c r="M142" s="68"/>
      <c r="N142" s="68"/>
    </row>
    <row r="143" customFormat="false" ht="15" hidden="false" customHeight="true" outlineLevel="1" collapsed="false">
      <c r="A143" s="68"/>
      <c r="B143" s="74" t="s">
        <v>595</v>
      </c>
      <c r="C143" s="120" t="s">
        <v>86</v>
      </c>
      <c r="D143" s="98" t="n">
        <f aca="false">Engine!G5</f>
        <v>25</v>
      </c>
      <c r="E143" s="98" t="n">
        <f aca="false">Engine!G5</f>
        <v>25</v>
      </c>
      <c r="F143" s="98" t="n">
        <f aca="false">Engine!G5</f>
        <v>25</v>
      </c>
      <c r="G143" s="98" t="n">
        <f aca="false">Engine!G5</f>
        <v>25</v>
      </c>
      <c r="I143" s="68"/>
      <c r="J143" s="68"/>
      <c r="K143" s="68"/>
      <c r="L143" s="68"/>
      <c r="M143" s="68"/>
      <c r="N143" s="68"/>
    </row>
    <row r="144" customFormat="false" ht="18" hidden="false" customHeight="true" outlineLevel="1" collapsed="false">
      <c r="A144" s="68"/>
      <c r="B144" s="129"/>
      <c r="C144" s="129"/>
      <c r="D144" s="129"/>
      <c r="E144" s="129"/>
      <c r="F144" s="129"/>
      <c r="G144" s="129"/>
      <c r="H144" s="129"/>
      <c r="I144" s="68"/>
      <c r="J144" s="68"/>
      <c r="K144" s="68"/>
      <c r="L144" s="68"/>
      <c r="M144" s="68"/>
      <c r="N144" s="68"/>
    </row>
    <row r="145" customFormat="false" ht="27.75" hidden="false" customHeight="true" outlineLevel="1" collapsed="false">
      <c r="A145" s="68"/>
      <c r="B145" s="67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</row>
    <row r="146" customFormat="false" ht="15" hidden="false" customHeight="true" outlineLevel="0" collapsed="false">
      <c r="A146" s="64"/>
      <c r="B146" s="79" t="str">
        <f aca="false">"SECTION 10 — SCENARIO COMPARISON | Switch scenario via Dashboard ▸ Active Scenario"</f>
        <v>SECTION 10 — SCENARIO COMPARISON | Switch scenario via Dashboard ▸ Active Scenario</v>
      </c>
      <c r="C146" s="79"/>
      <c r="D146" s="79"/>
      <c r="E146" s="79"/>
      <c r="F146" s="79"/>
      <c r="G146" s="79"/>
      <c r="H146" s="79"/>
      <c r="I146" s="79"/>
      <c r="J146" s="78"/>
      <c r="K146" s="78"/>
      <c r="L146" s="78"/>
      <c r="M146" s="68"/>
      <c r="N146" s="68"/>
    </row>
    <row r="147" customFormat="false" ht="15" hidden="false" customHeight="true" outlineLevel="1" collapsed="false">
      <c r="A147" s="68"/>
      <c r="B147" s="80" t="s">
        <v>596</v>
      </c>
      <c r="C147" s="80"/>
      <c r="D147" s="80"/>
      <c r="E147" s="80"/>
      <c r="F147" s="80"/>
      <c r="G147" s="80"/>
      <c r="H147" s="80"/>
      <c r="I147" s="68"/>
      <c r="J147" s="68"/>
      <c r="K147" s="68"/>
      <c r="L147" s="68"/>
      <c r="M147" s="68"/>
      <c r="N147" s="68"/>
    </row>
    <row r="148" customFormat="false" ht="15" hidden="false" customHeight="true" outlineLevel="1" collapsed="false">
      <c r="A148" s="68"/>
      <c r="B148" s="72" t="s">
        <v>573</v>
      </c>
      <c r="C148" s="120" t="s">
        <v>597</v>
      </c>
      <c r="D148" s="120" t="s">
        <v>598</v>
      </c>
      <c r="E148" s="120" t="s">
        <v>599</v>
      </c>
      <c r="F148" s="91" t="s">
        <v>600</v>
      </c>
      <c r="G148" s="91" t="s">
        <v>601</v>
      </c>
      <c r="H148" s="91" t="s">
        <v>602</v>
      </c>
      <c r="I148" s="91" t="s">
        <v>603</v>
      </c>
      <c r="J148" s="68"/>
      <c r="K148" s="68"/>
      <c r="L148" s="68"/>
      <c r="M148" s="68"/>
      <c r="N148" s="68"/>
    </row>
    <row r="149" customFormat="false" ht="15" hidden="false" customHeight="true" outlineLevel="1" collapsed="false">
      <c r="A149" s="68"/>
      <c r="B149" s="74" t="s">
        <v>604</v>
      </c>
      <c r="C149" s="98" t="n">
        <f aca="false">Engine!C195</f>
        <v>22685.668548311</v>
      </c>
      <c r="D149" s="98" t="n">
        <f aca="false">Engine!C196</f>
        <v>20216.592343311</v>
      </c>
      <c r="E149" s="98" t="n">
        <f aca="false">Engine!C197</f>
        <v>18815.639428311</v>
      </c>
      <c r="F149" s="98" t="n">
        <f aca="false">Engine!C198</f>
        <v>15812.501578311</v>
      </c>
      <c r="G149" s="99" t="n">
        <f aca="false">D149-C149</f>
        <v>-2469.07620499999</v>
      </c>
      <c r="H149" s="99" t="n">
        <f aca="false">E149-C149</f>
        <v>-3870.02912</v>
      </c>
      <c r="I149" s="99" t="n">
        <f aca="false">F149-C149</f>
        <v>-6873.16696999999</v>
      </c>
      <c r="J149" s="68"/>
      <c r="K149" s="68"/>
      <c r="L149" s="68"/>
      <c r="M149" s="68"/>
      <c r="N149" s="68"/>
    </row>
    <row r="150" customFormat="false" ht="15" hidden="false" customHeight="true" outlineLevel="1" collapsed="false">
      <c r="A150" s="68"/>
      <c r="B150" s="74" t="s">
        <v>585</v>
      </c>
      <c r="C150" s="113" t="n">
        <f aca="false">Engine!C200</f>
        <v>0.017379543720732</v>
      </c>
      <c r="D150" s="113" t="n">
        <f aca="false">Engine!C201</f>
        <v>0.0154879786666436</v>
      </c>
      <c r="E150" s="113" t="n">
        <f aca="false">Engine!C202</f>
        <v>0.0144147053626156</v>
      </c>
      <c r="F150" s="113" t="n">
        <f aca="false">Engine!C203</f>
        <v>0.0121139944334971</v>
      </c>
      <c r="G150" s="84" t="n">
        <f aca="false">D150-C150</f>
        <v>-0.00189156505408836</v>
      </c>
      <c r="H150" s="84" t="n">
        <f aca="false">E150-C150</f>
        <v>-0.00296483835811634</v>
      </c>
      <c r="I150" s="84" t="n">
        <f aca="false">F150-C150</f>
        <v>-0.00526554928723489</v>
      </c>
      <c r="J150" s="68"/>
      <c r="K150" s="68"/>
      <c r="L150" s="68"/>
      <c r="M150" s="68"/>
      <c r="N150" s="68"/>
    </row>
    <row r="151" customFormat="false" ht="15" hidden="false" customHeight="true" outlineLevel="1" collapsed="false">
      <c r="A151" s="68"/>
      <c r="B151" s="74" t="s">
        <v>605</v>
      </c>
      <c r="C151" s="113" t="n">
        <f aca="false">Engine!C205</f>
        <v>0.03575</v>
      </c>
      <c r="D151" s="113" t="n">
        <f aca="false">Engine!C206</f>
        <v>0.05375</v>
      </c>
      <c r="E151" s="113" t="n">
        <f aca="false">Engine!C207</f>
        <v>0.01775</v>
      </c>
      <c r="F151" s="113" t="n">
        <f aca="false">Engine!C208</f>
        <v>0.06275</v>
      </c>
      <c r="G151" s="84" t="n">
        <f aca="false">D151-C151</f>
        <v>0.018</v>
      </c>
      <c r="H151" s="84" t="n">
        <f aca="false">E151-C151</f>
        <v>-0.018</v>
      </c>
      <c r="I151" s="84" t="n">
        <f aca="false">F151-C151</f>
        <v>0.027</v>
      </c>
      <c r="J151" s="68"/>
      <c r="K151" s="68"/>
      <c r="L151" s="68"/>
      <c r="M151" s="68"/>
      <c r="N151" s="68"/>
    </row>
    <row r="152" customFormat="false" ht="15" hidden="false" customHeight="true" outlineLevel="1" collapsed="false">
      <c r="A152" s="68"/>
      <c r="B152" s="74" t="s">
        <v>606</v>
      </c>
      <c r="C152" s="113" t="n">
        <f aca="false">Engine!C210</f>
        <v>0.004</v>
      </c>
      <c r="D152" s="113" t="n">
        <f aca="false">Engine!C211</f>
        <v>0.01375</v>
      </c>
      <c r="E152" s="113" t="n">
        <f aca="false">Engine!C212</f>
        <v>0</v>
      </c>
      <c r="F152" s="113" t="n">
        <f aca="false">Engine!C213</f>
        <v>0.0215</v>
      </c>
      <c r="G152" s="84" t="n">
        <f aca="false">D152-C152</f>
        <v>0.00975</v>
      </c>
      <c r="H152" s="84" t="n">
        <f aca="false">E152-C152</f>
        <v>-0.004</v>
      </c>
      <c r="I152" s="84" t="n">
        <f aca="false">F152-C152</f>
        <v>0.0175</v>
      </c>
      <c r="J152" s="68"/>
      <c r="K152" s="68"/>
      <c r="L152" s="68"/>
      <c r="M152" s="68"/>
      <c r="N152" s="68"/>
    </row>
    <row r="153" customFormat="false" ht="15" hidden="false" customHeight="true" outlineLevel="1" collapsed="false">
      <c r="A153" s="68"/>
      <c r="B153" s="74" t="s">
        <v>590</v>
      </c>
      <c r="C153" s="113" t="n">
        <f aca="false">D93</f>
        <v>1.53548281027127</v>
      </c>
      <c r="D153" s="113" t="n">
        <f aca="false">D93</f>
        <v>1.53548281027127</v>
      </c>
      <c r="E153" s="113" t="n">
        <f aca="false">D93</f>
        <v>1.53548281027127</v>
      </c>
      <c r="F153" s="113" t="n">
        <f aca="false">D93</f>
        <v>1.53548281027127</v>
      </c>
      <c r="G153" s="99" t="s">
        <v>607</v>
      </c>
      <c r="H153" s="99" t="s">
        <v>607</v>
      </c>
      <c r="I153" s="99" t="s">
        <v>607</v>
      </c>
      <c r="J153" s="68"/>
      <c r="K153" s="68"/>
      <c r="L153" s="68"/>
      <c r="M153" s="68"/>
      <c r="N153" s="68"/>
    </row>
    <row r="154" customFormat="false" ht="15" hidden="false" customHeight="true" outlineLevel="1" collapsed="false">
      <c r="A154" s="68"/>
      <c r="B154" s="74" t="s">
        <v>592</v>
      </c>
      <c r="C154" s="84" t="n">
        <f aca="false">F117</f>
        <v>1.02841988102678</v>
      </c>
      <c r="D154" s="113" t="n">
        <f aca="false">F117</f>
        <v>1.02841988102678</v>
      </c>
      <c r="E154" s="113" t="n">
        <f aca="false">F117</f>
        <v>1.02841988102678</v>
      </c>
      <c r="F154" s="113" t="n">
        <f aca="false">F117</f>
        <v>1.02841988102678</v>
      </c>
      <c r="G154" s="99" t="s">
        <v>607</v>
      </c>
      <c r="H154" s="99" t="s">
        <v>607</v>
      </c>
      <c r="I154" s="99" t="s">
        <v>607</v>
      </c>
      <c r="J154" s="68"/>
      <c r="K154" s="68"/>
      <c r="L154" s="68"/>
      <c r="M154" s="68"/>
      <c r="N154" s="68"/>
    </row>
    <row r="155" customFormat="false" ht="15" hidden="false" customHeight="true" outlineLevel="1" collapsed="false">
      <c r="A155" s="68"/>
      <c r="B155" s="74" t="s">
        <v>586</v>
      </c>
      <c r="C155" s="84" t="n">
        <f aca="false">Engine!C251</f>
        <v>0.158796558254004</v>
      </c>
      <c r="D155" s="113" t="n">
        <f aca="false">Engine!C252</f>
        <v>0.158976443419179</v>
      </c>
      <c r="E155" s="113" t="n">
        <f aca="false">Engine!C253</f>
        <v>0.157778176664793</v>
      </c>
      <c r="F155" s="113" t="n">
        <f aca="false">Engine!C254</f>
        <v>0.160190433404215</v>
      </c>
      <c r="G155" s="84" t="n">
        <f aca="false">D155-C155</f>
        <v>0.000179885165175336</v>
      </c>
      <c r="H155" s="84" t="n">
        <f aca="false">E155-C155</f>
        <v>-0.00101838158921114</v>
      </c>
      <c r="I155" s="84" t="n">
        <f aca="false">F155-C155</f>
        <v>0.00139387515021117</v>
      </c>
      <c r="J155" s="68"/>
      <c r="K155" s="68"/>
      <c r="L155" s="68"/>
      <c r="M155" s="68"/>
      <c r="N155" s="68"/>
    </row>
    <row r="156" customFormat="false" ht="15" hidden="false" customHeight="true" outlineLevel="1" collapsed="false">
      <c r="A156" s="68"/>
      <c r="B156" s="74" t="s">
        <v>608</v>
      </c>
      <c r="C156" s="84" t="n">
        <f aca="false">Model!D54*(1-Engine!$C$256)</f>
        <v>0.0596107667171813</v>
      </c>
      <c r="D156" s="113" t="n">
        <f aca="false">Model!D54*(1+Engine!C8/0.02)*(1-Engine!$C$256)</f>
        <v>0.119221533434363</v>
      </c>
      <c r="E156" s="113" t="n">
        <f aca="false">Model!D54*(1+Engine!C9/0.02)*(1-Engine!$C$256)</f>
        <v>0</v>
      </c>
      <c r="F156" s="113" t="n">
        <f aca="false">Model!D54*(1+Engine!C10/0.02)*(1-Engine!$C$256)</f>
        <v>0.149026916792953</v>
      </c>
      <c r="G156" s="84" t="n">
        <f aca="false">D156-C156</f>
        <v>0.0596107667171813</v>
      </c>
      <c r="H156" s="84" t="n">
        <f aca="false">E156-C156</f>
        <v>-0.0596107667171813</v>
      </c>
      <c r="I156" s="84" t="n">
        <f aca="false">F156-C156</f>
        <v>0.0894161500757719</v>
      </c>
      <c r="J156" s="68"/>
      <c r="K156" s="68"/>
      <c r="L156" s="68"/>
      <c r="M156" s="68"/>
      <c r="N156" s="68"/>
    </row>
    <row r="157" customFormat="false" ht="15" hidden="false" customHeight="true" outlineLevel="1" collapsed="false">
      <c r="A157" s="68"/>
      <c r="B157" s="77" t="s">
        <v>594</v>
      </c>
      <c r="C157" s="98" t="n">
        <f aca="false">Engine!C215</f>
        <v>11193.5414789975</v>
      </c>
      <c r="D157" s="98" t="n">
        <f aca="false">Engine!C216</f>
        <v>9821.59556470213</v>
      </c>
      <c r="E157" s="98" t="n">
        <f aca="false">Engine!C217</f>
        <v>10748.3352288053</v>
      </c>
      <c r="F157" s="98" t="n">
        <f aca="false">Engine!C218</f>
        <v>5942.58523714898</v>
      </c>
      <c r="G157" s="99" t="n">
        <f aca="false">D157-C157</f>
        <v>-1371.94591429533</v>
      </c>
      <c r="H157" s="99" t="n">
        <f aca="false">E157-C157</f>
        <v>-445.20625019217</v>
      </c>
      <c r="I157" s="99" t="n">
        <f aca="false">F157-C157</f>
        <v>-5250.95624184848</v>
      </c>
      <c r="J157" s="68"/>
      <c r="K157" s="68"/>
      <c r="L157" s="68"/>
      <c r="M157" s="68"/>
      <c r="N157" s="68"/>
    </row>
    <row r="158" customFormat="false" ht="18" hidden="false" customHeight="true" outlineLevel="1" collapsed="false">
      <c r="A158" s="68"/>
      <c r="B158" s="74" t="s">
        <v>609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</row>
    <row r="159" customFormat="false" ht="27.75" hidden="false" customHeight="true" outlineLevel="1" collapsed="false">
      <c r="A159" s="68"/>
      <c r="B159" s="72" t="s">
        <v>610</v>
      </c>
      <c r="C159" s="131"/>
      <c r="D159" s="131"/>
      <c r="E159" s="131"/>
      <c r="F159" s="131"/>
      <c r="G159" s="131"/>
      <c r="H159" s="131"/>
      <c r="I159" s="131"/>
      <c r="J159" s="68"/>
      <c r="K159" s="68"/>
      <c r="L159" s="68"/>
      <c r="M159" s="68"/>
      <c r="N159" s="68"/>
    </row>
    <row r="160" customFormat="false" ht="15" hidden="false" customHeight="true" outlineLevel="1" collapsed="false">
      <c r="A160" s="64"/>
      <c r="B160" s="132" t="n">
        <f aca="false">E132</f>
        <v>0.017379543720732</v>
      </c>
      <c r="C160" s="133" t="n">
        <v>-0.02</v>
      </c>
      <c r="D160" s="133" t="n">
        <v>-0.01</v>
      </c>
      <c r="E160" s="133" t="n">
        <v>-0.005</v>
      </c>
      <c r="F160" s="125" t="n">
        <v>0</v>
      </c>
      <c r="G160" s="133" t="n">
        <v>0.005</v>
      </c>
      <c r="H160" s="133" t="n">
        <v>0.01</v>
      </c>
      <c r="I160" s="133" t="n">
        <v>0.02</v>
      </c>
      <c r="J160" s="68"/>
      <c r="K160" s="68"/>
      <c r="L160" s="68"/>
      <c r="M160" s="68"/>
      <c r="N160" s="68"/>
    </row>
    <row r="161" customFormat="false" ht="15" hidden="false" customHeight="true" outlineLevel="1" collapsed="false">
      <c r="A161" s="68"/>
      <c r="B161" s="134" t="n">
        <v>0.2</v>
      </c>
      <c r="C161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161*(Engine!$E$14+C$160-Engine!$D$14)))-(Engine!$E$137*((Engine!$E$15+C$160)+Engine!$E$27))-(Engine!$E$138*((Engine!$E$14+C$160)+Engine!$E$28))-(Engine!$E$139*((Engine!$E$17+C$160)+Engine!$E$29))-(Engine!$E$140*Engine!$E$30))/$E$130</f>
        <v>0.0139924094137283</v>
      </c>
      <c r="D161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161*(Engine!$E$14+D$160-Engine!$D$14)))-(Engine!$E$137*((Engine!$E$15+D$160)+Engine!$E$27))-(Engine!$E$138*((Engine!$E$14+D$160)+Engine!$E$28))-(Engine!$E$139*((Engine!$E$17+D$160)+Engine!$E$29))-(Engine!$E$140*Engine!$E$30))/$E$130</f>
        <v>0.0154748285927864</v>
      </c>
      <c r="E161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161*(Engine!$E$14+E$160-Engine!$D$14)))-(Engine!$E$137*((Engine!$E$15+E$160)+Engine!$E$27))-(Engine!$E$138*((Engine!$E$14+E$160)+Engine!$E$28))-(Engine!$E$139*((Engine!$E$17+E$160)+Engine!$E$29))-(Engine!$E$140*Engine!$E$30))/$E$130</f>
        <v>0.0162160381823155</v>
      </c>
      <c r="F161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161*(Engine!$E$14+F$160-Engine!$D$14)))-(Engine!$E$137*((Engine!$E$15+F$160)+Engine!$E$27))-(Engine!$E$138*((Engine!$E$14+F$160)+Engine!$E$28))-(Engine!$E$139*((Engine!$E$17+F$160)+Engine!$E$29))-(Engine!$E$140*Engine!$E$30))/$E$130</f>
        <v>0.0169572477718446</v>
      </c>
      <c r="G161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161*(Engine!$E$14+G$160-Engine!$D$14)))-(Engine!$E$137*((Engine!$E$15+G$160)+Engine!$E$27))-(Engine!$E$138*((Engine!$E$14+G$160)+Engine!$E$28))-(Engine!$E$139*((Engine!$E$17+G$160)+Engine!$E$29))-(Engine!$E$140*Engine!$E$30))/$E$130</f>
        <v>0.0176984573613737</v>
      </c>
      <c r="H161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161*(Engine!$E$14+H$160-Engine!$D$14)))-(Engine!$E$137*((Engine!$E$15+H$160)+Engine!$E$27))-(Engine!$E$138*((Engine!$E$14+H$160)+Engine!$E$28))-(Engine!$E$139*((Engine!$E$17+H$160)+Engine!$E$29))-(Engine!$E$140*Engine!$E$30))/$E$130</f>
        <v>0.0184396669509028</v>
      </c>
      <c r="I161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161*(Engine!$E$14+I$160-Engine!$D$14)))-(Engine!$E$137*((Engine!$E$15+I$160)+Engine!$E$27))-(Engine!$E$138*((Engine!$E$14+I$160)+Engine!$E$28))-(Engine!$E$139*((Engine!$E$17+I$160)+Engine!$E$29))-(Engine!$E$140*Engine!$E$30))/$E$130</f>
        <v>0.019922086129961</v>
      </c>
      <c r="J161" s="68"/>
      <c r="K161" s="68"/>
      <c r="L161" s="68"/>
      <c r="M161" s="68"/>
      <c r="N161" s="68"/>
    </row>
    <row r="162" customFormat="false" ht="15" hidden="false" customHeight="true" outlineLevel="1" collapsed="false">
      <c r="A162" s="68"/>
      <c r="B162" s="134" t="n">
        <v>0.25</v>
      </c>
      <c r="C162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162*(Engine!$E$14+C$160-Engine!$D$14)))-(Engine!$E$137*((Engine!$E$15+C$160)+Engine!$E$27))-(Engine!$E$138*((Engine!$E$14+C$160)+Engine!$E$28))-(Engine!$E$139*((Engine!$E$17+C$160)+Engine!$E$29))-(Engine!$E$140*Engine!$E$30))/$E$130</f>
        <v>0.0144147053626156</v>
      </c>
      <c r="D162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162*(Engine!$E$14+D$160-Engine!$D$14)))-(Engine!$E$137*((Engine!$E$15+D$160)+Engine!$E$27))-(Engine!$E$138*((Engine!$E$14+D$160)+Engine!$E$28))-(Engine!$E$139*((Engine!$E$17+D$160)+Engine!$E$29))-(Engine!$E$140*Engine!$E$30))/$E$130</f>
        <v>0.0160026985288957</v>
      </c>
      <c r="E162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162*(Engine!$E$14+E$160-Engine!$D$14)))-(Engine!$E$137*((Engine!$E$15+E$160)+Engine!$E$27))-(Engine!$E$138*((Engine!$E$14+E$160)+Engine!$E$28))-(Engine!$E$139*((Engine!$E$17+E$160)+Engine!$E$29))-(Engine!$E$140*Engine!$E$30))/$E$130</f>
        <v>0.0165327601439811</v>
      </c>
      <c r="F162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162*(Engine!$E$14+F$160-Engine!$D$14)))-(Engine!$E$137*((Engine!$E$15+F$160)+Engine!$E$27))-(Engine!$E$138*((Engine!$E$14+F$160)+Engine!$E$28))-(Engine!$E$139*((Engine!$E$17+F$160)+Engine!$E$29))-(Engine!$E$140*Engine!$E$30))/$E$130</f>
        <v>0.0170628217590665</v>
      </c>
      <c r="G162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162*(Engine!$E$14+G$160-Engine!$D$14)))-(Engine!$E$137*((Engine!$E$15+G$160)+Engine!$E$27))-(Engine!$E$138*((Engine!$E$14+G$160)+Engine!$E$28))-(Engine!$E$139*((Engine!$E$17+G$160)+Engine!$E$29))-(Engine!$E$140*Engine!$E$30))/$E$130</f>
        <v>0.0175928833741519</v>
      </c>
      <c r="H162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162*(Engine!$E$14+H$160-Engine!$D$14)))-(Engine!$E$137*((Engine!$E$15+H$160)+Engine!$E$27))-(Engine!$E$138*((Engine!$E$14+H$160)+Engine!$E$28))-(Engine!$E$139*((Engine!$E$17+H$160)+Engine!$E$29))-(Engine!$E$140*Engine!$E$30))/$E$130</f>
        <v>0.0181229449892373</v>
      </c>
      <c r="I162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162*(Engine!$E$14+I$160-Engine!$D$14)))-(Engine!$E$137*((Engine!$E$15+I$160)+Engine!$E$27))-(Engine!$E$138*((Engine!$E$14+I$160)+Engine!$E$28))-(Engine!$E$139*((Engine!$E$17+I$160)+Engine!$E$29))-(Engine!$E$140*Engine!$E$30))/$E$130</f>
        <v>0.0191830682194081</v>
      </c>
      <c r="J162" s="68"/>
      <c r="K162" s="68"/>
      <c r="L162" s="68"/>
      <c r="M162" s="68"/>
      <c r="N162" s="68"/>
    </row>
    <row r="163" customFormat="false" ht="15" hidden="false" customHeight="true" outlineLevel="1" collapsed="false">
      <c r="A163" s="68"/>
      <c r="B163" s="134" t="n">
        <v>0.3</v>
      </c>
      <c r="C163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163*(Engine!$E$14+C$160-Engine!$D$14)))-(Engine!$E$137*((Engine!$E$15+C$160)+Engine!$E$27))-(Engine!$E$138*((Engine!$E$14+C$160)+Engine!$E$28))-(Engine!$E$139*((Engine!$E$17+C$160)+Engine!$E$29))-(Engine!$E$140*Engine!$E$30))/$E$130</f>
        <v>0.0144147053626156</v>
      </c>
      <c r="D163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163*(Engine!$E$14+D$160-Engine!$D$14)))-(Engine!$E$137*((Engine!$E$15+D$160)+Engine!$E$27))-(Engine!$E$138*((Engine!$E$14+D$160)+Engine!$E$28))-(Engine!$E$139*((Engine!$E$17+D$160)+Engine!$E$29))-(Engine!$E$140*Engine!$E$30))/$E$130</f>
        <v>0.0165305684650049</v>
      </c>
      <c r="E163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163*(Engine!$E$14+E$160-Engine!$D$14)))-(Engine!$E$137*((Engine!$E$15+E$160)+Engine!$E$27))-(Engine!$E$138*((Engine!$E$14+E$160)+Engine!$E$28))-(Engine!$E$139*((Engine!$E$17+E$160)+Engine!$E$29))-(Engine!$E$140*Engine!$E$30))/$E$130</f>
        <v>0.0168494821056466</v>
      </c>
      <c r="F163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163*(Engine!$E$14+F$160-Engine!$D$14)))-(Engine!$E$137*((Engine!$E$15+F$160)+Engine!$E$27))-(Engine!$E$138*((Engine!$E$14+F$160)+Engine!$E$28))-(Engine!$E$139*((Engine!$E$17+F$160)+Engine!$E$29))-(Engine!$E$140*Engine!$E$30))/$E$130</f>
        <v>0.0171683957462883</v>
      </c>
      <c r="G163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163*(Engine!$E$14+G$160-Engine!$D$14)))-(Engine!$E$137*((Engine!$E$15+G$160)+Engine!$E$27))-(Engine!$E$138*((Engine!$E$14+G$160)+Engine!$E$28))-(Engine!$E$139*((Engine!$E$17+G$160)+Engine!$E$29))-(Engine!$E$140*Engine!$E$30))/$E$130</f>
        <v>0.01748730938693</v>
      </c>
      <c r="H163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163*(Engine!$E$14+H$160-Engine!$D$14)))-(Engine!$E$137*((Engine!$E$15+H$160)+Engine!$E$27))-(Engine!$E$138*((Engine!$E$14+H$160)+Engine!$E$28))-(Engine!$E$139*((Engine!$E$17+H$160)+Engine!$E$29))-(Engine!$E$140*Engine!$E$30))/$E$130</f>
        <v>0.0178062230275717</v>
      </c>
      <c r="I163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163*(Engine!$E$14+I$160-Engine!$D$14)))-(Engine!$E$137*((Engine!$E$15+I$160)+Engine!$E$27))-(Engine!$E$138*((Engine!$E$14+I$160)+Engine!$E$28))-(Engine!$E$139*((Engine!$E$17+I$160)+Engine!$E$29))-(Engine!$E$140*Engine!$E$30))/$E$130</f>
        <v>0.0184440503088552</v>
      </c>
      <c r="J163" s="68"/>
      <c r="K163" s="68"/>
      <c r="L163" s="68"/>
      <c r="M163" s="68"/>
      <c r="N163" s="68"/>
    </row>
    <row r="164" customFormat="false" ht="15" hidden="false" customHeight="true" outlineLevel="1" collapsed="false">
      <c r="A164" s="68"/>
      <c r="B164" s="134" t="n">
        <v>0.4</v>
      </c>
      <c r="C164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164*(Engine!$E$14+C$160-Engine!$D$14)))-(Engine!$E$137*((Engine!$E$15+C$160)+Engine!$E$27))-(Engine!$E$138*((Engine!$E$14+C$160)+Engine!$E$28))-(Engine!$E$139*((Engine!$E$17+C$160)+Engine!$E$29))-(Engine!$E$140*Engine!$E$30))/$E$130</f>
        <v>0.0144147053626156</v>
      </c>
      <c r="D164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164*(Engine!$E$14+D$160-Engine!$D$14)))-(Engine!$E$137*((Engine!$E$15+D$160)+Engine!$E$27))-(Engine!$E$138*((Engine!$E$14+D$160)+Engine!$E$28))-(Engine!$E$139*((Engine!$E$17+D$160)+Engine!$E$29))-(Engine!$E$140*Engine!$E$30))/$E$130</f>
        <v>0.0175863083372233</v>
      </c>
      <c r="E164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164*(Engine!$E$14+E$160-Engine!$D$14)))-(Engine!$E$137*((Engine!$E$15+E$160)+Engine!$E$27))-(Engine!$E$138*((Engine!$E$14+E$160)+Engine!$E$28))-(Engine!$E$139*((Engine!$E$17+E$160)+Engine!$E$29))-(Engine!$E$140*Engine!$E$30))/$E$130</f>
        <v>0.0174829260289776</v>
      </c>
      <c r="F164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164*(Engine!$E$14+F$160-Engine!$D$14)))-(Engine!$E$137*((Engine!$E$15+F$160)+Engine!$E$27))-(Engine!$E$138*((Engine!$E$14+F$160)+Engine!$E$28))-(Engine!$E$139*((Engine!$E$17+F$160)+Engine!$E$29))-(Engine!$E$140*Engine!$E$30))/$E$130</f>
        <v>0.017379543720732</v>
      </c>
      <c r="G164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164*(Engine!$E$14+G$160-Engine!$D$14)))-(Engine!$E$137*((Engine!$E$15+G$160)+Engine!$E$27))-(Engine!$E$138*((Engine!$E$14+G$160)+Engine!$E$28))-(Engine!$E$139*((Engine!$E$17+G$160)+Engine!$E$29))-(Engine!$E$140*Engine!$E$30))/$E$130</f>
        <v>0.0172761614124863</v>
      </c>
      <c r="H164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164*(Engine!$E$14+H$160-Engine!$D$14)))-(Engine!$E$137*((Engine!$E$15+H$160)+Engine!$E$27))-(Engine!$E$138*((Engine!$E$14+H$160)+Engine!$E$28))-(Engine!$E$139*((Engine!$E$17+H$160)+Engine!$E$29))-(Engine!$E$140*Engine!$E$30))/$E$130</f>
        <v>0.0171727791042407</v>
      </c>
      <c r="I164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164*(Engine!$E$14+I$160-Engine!$D$14)))-(Engine!$E$137*((Engine!$E$15+I$160)+Engine!$E$27))-(Engine!$E$138*((Engine!$E$14+I$160)+Engine!$E$28))-(Engine!$E$139*((Engine!$E$17+I$160)+Engine!$E$29))-(Engine!$E$140*Engine!$E$30))/$E$130</f>
        <v>0.0169660144877494</v>
      </c>
      <c r="J164" s="68"/>
      <c r="K164" s="68"/>
      <c r="L164" s="68"/>
      <c r="M164" s="68"/>
      <c r="N164" s="68"/>
    </row>
    <row r="165" customFormat="false" ht="15" hidden="false" customHeight="true" outlineLevel="1" collapsed="false">
      <c r="A165" s="68"/>
      <c r="B165" s="134" t="n">
        <v>0.5</v>
      </c>
      <c r="C165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165*(Engine!$E$14+C$160-Engine!$D$14)))-(Engine!$E$137*((Engine!$E$15+C$160)+Engine!$E$27))-(Engine!$E$138*((Engine!$E$14+C$160)+Engine!$E$28))-(Engine!$E$139*((Engine!$E$17+C$160)+Engine!$E$29))-(Engine!$E$140*Engine!$E$30))/$E$130</f>
        <v>0.0144147053626156</v>
      </c>
      <c r="D165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165*(Engine!$E$14+D$160-Engine!$D$14)))-(Engine!$E$137*((Engine!$E$15+D$160)+Engine!$E$27))-(Engine!$E$138*((Engine!$E$14+D$160)+Engine!$E$28))-(Engine!$E$139*((Engine!$E$17+D$160)+Engine!$E$29))-(Engine!$E$140*Engine!$E$30))/$E$130</f>
        <v>0.0175863083372233</v>
      </c>
      <c r="E165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165*(Engine!$E$14+E$160-Engine!$D$14)))-(Engine!$E$137*((Engine!$E$15+E$160)+Engine!$E$27))-(Engine!$E$138*((Engine!$E$14+E$160)+Engine!$E$28))-(Engine!$E$139*((Engine!$E$17+E$160)+Engine!$E$29))-(Engine!$E$140*Engine!$E$30))/$E$130</f>
        <v>0.0181163699523087</v>
      </c>
      <c r="F165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165*(Engine!$E$14+F$160-Engine!$D$14)))-(Engine!$E$137*((Engine!$E$15+F$160)+Engine!$E$27))-(Engine!$E$138*((Engine!$E$14+F$160)+Engine!$E$28))-(Engine!$E$139*((Engine!$E$17+F$160)+Engine!$E$29))-(Engine!$E$140*Engine!$E$30))/$E$130</f>
        <v>0.0175906916951757</v>
      </c>
      <c r="G165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165*(Engine!$E$14+G$160-Engine!$D$14)))-(Engine!$E$137*((Engine!$E$15+G$160)+Engine!$E$27))-(Engine!$E$138*((Engine!$E$14+G$160)+Engine!$E$28))-(Engine!$E$139*((Engine!$E$17+G$160)+Engine!$E$29))-(Engine!$E$140*Engine!$E$30))/$E$130</f>
        <v>0.0170650134380427</v>
      </c>
      <c r="H165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165*(Engine!$E$14+H$160-Engine!$D$14)))-(Engine!$E$137*((Engine!$E$15+H$160)+Engine!$E$27))-(Engine!$E$138*((Engine!$E$14+H$160)+Engine!$E$28))-(Engine!$E$139*((Engine!$E$17+H$160)+Engine!$E$29))-(Engine!$E$140*Engine!$E$30))/$E$130</f>
        <v>0.0165393351809096</v>
      </c>
      <c r="I165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165*(Engine!$E$14+I$160-Engine!$D$14)))-(Engine!$E$137*((Engine!$E$15+I$160)+Engine!$E$27))-(Engine!$E$138*((Engine!$E$14+I$160)+Engine!$E$28))-(Engine!$E$139*((Engine!$E$17+I$160)+Engine!$E$29))-(Engine!$E$140*Engine!$E$30))/$E$130</f>
        <v>0.0154879786666436</v>
      </c>
      <c r="J165" s="68"/>
      <c r="K165" s="68"/>
      <c r="L165" s="68"/>
      <c r="M165" s="68"/>
      <c r="N165" s="68"/>
    </row>
    <row r="166" customFormat="false" ht="15" hidden="false" customHeight="true" outlineLevel="1" collapsed="false">
      <c r="A166" s="68"/>
      <c r="B166" s="134" t="n">
        <v>0.6</v>
      </c>
      <c r="C166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166*(Engine!$E$14+C$160-Engine!$D$14)))-(Engine!$E$137*((Engine!$E$15+C$160)+Engine!$E$27))-(Engine!$E$138*((Engine!$E$14+C$160)+Engine!$E$28))-(Engine!$E$139*((Engine!$E$17+C$160)+Engine!$E$29))-(Engine!$E$140*Engine!$E$30))/$E$130</f>
        <v>0.0144147053626156</v>
      </c>
      <c r="D166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166*(Engine!$E$14+D$160-Engine!$D$14)))-(Engine!$E$137*((Engine!$E$15+D$160)+Engine!$E$27))-(Engine!$E$138*((Engine!$E$14+D$160)+Engine!$E$28))-(Engine!$E$139*((Engine!$E$17+D$160)+Engine!$E$29))-(Engine!$E$140*Engine!$E$30))/$E$130</f>
        <v>0.0175863083372233</v>
      </c>
      <c r="E166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166*(Engine!$E$14+E$160-Engine!$D$14)))-(Engine!$E$137*((Engine!$E$15+E$160)+Engine!$E$27))-(Engine!$E$138*((Engine!$E$14+E$160)+Engine!$E$28))-(Engine!$E$139*((Engine!$E$17+E$160)+Engine!$E$29))-(Engine!$E$140*Engine!$E$30))/$E$130</f>
        <v>0.0187498138756397</v>
      </c>
      <c r="F166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166*(Engine!$E$14+F$160-Engine!$D$14)))-(Engine!$E$137*((Engine!$E$15+F$160)+Engine!$E$27))-(Engine!$E$138*((Engine!$E$14+F$160)+Engine!$E$28))-(Engine!$E$139*((Engine!$E$17+F$160)+Engine!$E$29))-(Engine!$E$140*Engine!$E$30))/$E$130</f>
        <v>0.0178018396696193</v>
      </c>
      <c r="G166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166*(Engine!$E$14+G$160-Engine!$D$14)))-(Engine!$E$137*((Engine!$E$15+G$160)+Engine!$E$27))-(Engine!$E$138*((Engine!$E$14+G$160)+Engine!$E$28))-(Engine!$E$139*((Engine!$E$17+G$160)+Engine!$E$29))-(Engine!$E$140*Engine!$E$30))/$E$130</f>
        <v>0.016853865463599</v>
      </c>
      <c r="H166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166*(Engine!$E$14+H$160-Engine!$D$14)))-(Engine!$E$137*((Engine!$E$15+H$160)+Engine!$E$27))-(Engine!$E$138*((Engine!$E$14+H$160)+Engine!$E$28))-(Engine!$E$139*((Engine!$E$17+H$160)+Engine!$E$29))-(Engine!$E$140*Engine!$E$30))/$E$130</f>
        <v>0.0159058912575786</v>
      </c>
      <c r="I166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166*(Engine!$E$14+I$160-Engine!$D$14)))-(Engine!$E$137*((Engine!$E$15+I$160)+Engine!$E$27))-(Engine!$E$138*((Engine!$E$14+I$160)+Engine!$E$28))-(Engine!$E$139*((Engine!$E$17+I$160)+Engine!$E$29))-(Engine!$E$140*Engine!$E$30))/$E$130</f>
        <v>0.0140099428455378</v>
      </c>
      <c r="J166" s="68"/>
      <c r="K166" s="68"/>
      <c r="L166" s="68"/>
      <c r="M166" s="68"/>
      <c r="N166" s="68"/>
    </row>
    <row r="167" customFormat="false" ht="15" hidden="false" customHeight="true" outlineLevel="1" collapsed="false">
      <c r="A167" s="68"/>
      <c r="B167" s="134" t="n">
        <v>0.7</v>
      </c>
      <c r="C167" s="112" t="n">
        <f aca="false">(Engine!$E$126*Engine!$E$14+Engine!$E$128*(Engine!$D$116+Engine!$C$24*(Engine!$E$15+C$160-Engine!$D$15))+Engine!$E$129*((Engine!$E$15+C$160)+Engine!$E$27)+Engine!$E$130*((Engine!$E$17+C$160)+Engine!$E$26)-(Engine!$E$136*MAX(0,Engine!$D$117+$B167*(Engine!$E$14+C$160-Engine!$D$14)))-(Engine!$E$137*((Engine!$E$15+C$160)+Engine!$E$27))-(Engine!$E$138*((Engine!$E$14+C$160)+Engine!$E$28))-(Engine!$E$139*((Engine!$E$17+C$160)+Engine!$E$29))-(Engine!$E$140*Engine!$E$30))/$E$130</f>
        <v>0.0144147053626156</v>
      </c>
      <c r="D167" s="112" t="n">
        <f aca="false">(Engine!$E$126*Engine!$E$14+Engine!$E$128*(Engine!$D$116+Engine!$C$24*(Engine!$E$15+D$160-Engine!$D$15))+Engine!$E$129*((Engine!$E$15+D$160)+Engine!$E$27)+Engine!$E$130*((Engine!$E$17+D$160)+Engine!$E$26)-(Engine!$E$136*MAX(0,Engine!$D$117+$B167*(Engine!$E$14+D$160-Engine!$D$14)))-(Engine!$E$137*((Engine!$E$15+D$160)+Engine!$E$27))-(Engine!$E$138*((Engine!$E$14+D$160)+Engine!$E$28))-(Engine!$E$139*((Engine!$E$17+D$160)+Engine!$E$29))-(Engine!$E$140*Engine!$E$30))/$E$130</f>
        <v>0.0175863083372233</v>
      </c>
      <c r="E167" s="112" t="n">
        <f aca="false">(Engine!$E$126*Engine!$E$14+Engine!$E$128*(Engine!$D$116+Engine!$C$24*(Engine!$E$15+E$160-Engine!$D$15))+Engine!$E$129*((Engine!$E$15+E$160)+Engine!$E$27)+Engine!$E$130*((Engine!$E$17+E$160)+Engine!$E$26)-(Engine!$E$136*MAX(0,Engine!$D$117+$B167*(Engine!$E$14+E$160-Engine!$D$14)))-(Engine!$E$137*((Engine!$E$15+E$160)+Engine!$E$27))-(Engine!$E$138*((Engine!$E$14+E$160)+Engine!$E$28))-(Engine!$E$139*((Engine!$E$17+E$160)+Engine!$E$29))-(Engine!$E$140*Engine!$E$30))/$E$130</f>
        <v>0.0191721098245271</v>
      </c>
      <c r="F167" s="112" t="n">
        <f aca="false">(Engine!$E$126*Engine!$E$14+Engine!$E$128*(Engine!$D$116+Engine!$C$24*(Engine!$E$15+F$160-Engine!$D$15))+Engine!$E$129*((Engine!$E$15+F$160)+Engine!$E$27)+Engine!$E$130*((Engine!$E$17+F$160)+Engine!$E$26)-(Engine!$E$136*MAX(0,Engine!$D$117+$B167*(Engine!$E$14+F$160-Engine!$D$14)))-(Engine!$E$137*((Engine!$E$15+F$160)+Engine!$E$27))-(Engine!$E$138*((Engine!$E$14+F$160)+Engine!$E$28))-(Engine!$E$139*((Engine!$E$17+F$160)+Engine!$E$29))-(Engine!$E$140*Engine!$E$30))/$E$130</f>
        <v>0.018012987644063</v>
      </c>
      <c r="G167" s="112" t="n">
        <f aca="false">(Engine!$E$126*Engine!$E$14+Engine!$E$128*(Engine!$D$116+Engine!$C$24*(Engine!$E$15+G$160-Engine!$D$15))+Engine!$E$129*((Engine!$E$15+G$160)+Engine!$E$27)+Engine!$E$130*((Engine!$E$17+G$160)+Engine!$E$26)-(Engine!$E$136*MAX(0,Engine!$D$117+$B167*(Engine!$E$14+G$160-Engine!$D$14)))-(Engine!$E$137*((Engine!$E$15+G$160)+Engine!$E$27))-(Engine!$E$138*((Engine!$E$14+G$160)+Engine!$E$28))-(Engine!$E$139*((Engine!$E$17+G$160)+Engine!$E$29))-(Engine!$E$140*Engine!$E$30))/$E$130</f>
        <v>0.0166427174891553</v>
      </c>
      <c r="H167" s="112" t="n">
        <f aca="false">(Engine!$E$126*Engine!$E$14+Engine!$E$128*(Engine!$D$116+Engine!$C$24*(Engine!$E$15+H$160-Engine!$D$15))+Engine!$E$129*((Engine!$E$15+H$160)+Engine!$E$27)+Engine!$E$130*((Engine!$E$17+H$160)+Engine!$E$26)-(Engine!$E$136*MAX(0,Engine!$D$117+$B167*(Engine!$E$14+H$160-Engine!$D$14)))-(Engine!$E$137*((Engine!$E$15+H$160)+Engine!$E$27))-(Engine!$E$138*((Engine!$E$14+H$160)+Engine!$E$28))-(Engine!$E$139*((Engine!$E$17+H$160)+Engine!$E$29))-(Engine!$E$140*Engine!$E$30))/$E$130</f>
        <v>0.0152724473342475</v>
      </c>
      <c r="I167" s="112" t="n">
        <f aca="false">(Engine!$E$126*Engine!$E$14+Engine!$E$128*(Engine!$D$116+Engine!$C$24*(Engine!$E$15+I$160-Engine!$D$15))+Engine!$E$129*((Engine!$E$15+I$160)+Engine!$E$27)+Engine!$E$130*((Engine!$E$17+I$160)+Engine!$E$26)-(Engine!$E$136*MAX(0,Engine!$D$117+$B167*(Engine!$E$14+I$160-Engine!$D$14)))-(Engine!$E$137*((Engine!$E$15+I$160)+Engine!$E$27))-(Engine!$E$138*((Engine!$E$14+I$160)+Engine!$E$28))-(Engine!$E$139*((Engine!$E$17+I$160)+Engine!$E$29))-(Engine!$E$140*Engine!$E$30))/$E$130</f>
        <v>0.0125319070244321</v>
      </c>
      <c r="J167" s="68"/>
      <c r="K167" s="68"/>
      <c r="L167" s="68"/>
      <c r="M167" s="68"/>
      <c r="N167" s="68"/>
    </row>
    <row r="168" customFormat="false" ht="15" hidden="false" customHeight="true" outlineLevel="1" collapsed="false">
      <c r="A168" s="68"/>
      <c r="B168" s="72" t="s">
        <v>611</v>
      </c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</row>
    <row r="169" customFormat="false" ht="18" hidden="false" customHeight="true" outlineLevel="1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</row>
    <row r="170" customFormat="false" ht="27.75" hidden="false" customHeight="true" outlineLevel="1" collapsed="false">
      <c r="A170" s="68"/>
      <c r="B170" s="67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</row>
    <row r="171" customFormat="false" ht="15" hidden="false" customHeight="true" outlineLevel="0" collapsed="false">
      <c r="A171" s="64"/>
      <c r="B171" s="79" t="s">
        <v>612</v>
      </c>
      <c r="C171" s="79"/>
      <c r="D171" s="79"/>
      <c r="E171" s="79"/>
      <c r="F171" s="79"/>
      <c r="G171" s="79"/>
      <c r="H171" s="79"/>
      <c r="I171" s="79"/>
      <c r="J171" s="105"/>
      <c r="K171" s="105"/>
      <c r="L171" s="105"/>
      <c r="M171" s="131"/>
      <c r="N171" s="131"/>
    </row>
    <row r="172" customFormat="false" ht="15" hidden="false" customHeight="true" outlineLevel="1" collapsed="false">
      <c r="A172" s="68"/>
      <c r="B172" s="72" t="s">
        <v>613</v>
      </c>
      <c r="C172" s="98" t="n">
        <f aca="false">Engine!E14+(Engine!C5*(COLUMN()-3)/12)</f>
        <v>0.0225</v>
      </c>
      <c r="D172" s="98" t="n">
        <f aca="false">Engine!E14+(Engine!C5*(COLUMN()-3)/12)</f>
        <v>0.0225</v>
      </c>
      <c r="E172" s="98" t="n">
        <f aca="false">Engine!E14+(Engine!C5*(COLUMN()-3)/12)</f>
        <v>0.0225</v>
      </c>
      <c r="F172" s="98" t="n">
        <f aca="false">Engine!E14+(Engine!C5*(COLUMN()-3)/12)</f>
        <v>0.0225</v>
      </c>
      <c r="G172" s="98" t="n">
        <f aca="false">Engine!E14+(Engine!C5*(COLUMN()-3)/12)</f>
        <v>0.0225</v>
      </c>
      <c r="H172" s="98" t="n">
        <f aca="false">Engine!E14+(Engine!C5*(COLUMN()-3)/12)</f>
        <v>0.0225</v>
      </c>
      <c r="I172" s="98" t="n">
        <f aca="false">Engine!E14+(Engine!C5*(COLUMN()-3)/12)</f>
        <v>0.0225</v>
      </c>
      <c r="J172" s="98" t="n">
        <f aca="false">Engine!E14+(Engine!C5*(COLUMN()-3)/12)</f>
        <v>0.0225</v>
      </c>
      <c r="K172" s="135"/>
      <c r="L172" s="135"/>
      <c r="M172" s="135"/>
      <c r="N172" s="135"/>
    </row>
    <row r="173" customFormat="false" ht="15" hidden="false" customHeight="true" outlineLevel="1" collapsed="false">
      <c r="A173" s="68"/>
      <c r="B173" s="72" t="s">
        <v>614</v>
      </c>
      <c r="C173" s="120" t="s">
        <v>615</v>
      </c>
      <c r="D173" s="120" t="s">
        <v>616</v>
      </c>
      <c r="E173" s="120" t="s">
        <v>617</v>
      </c>
      <c r="F173" s="91" t="s">
        <v>618</v>
      </c>
      <c r="G173" s="91" t="s">
        <v>619</v>
      </c>
      <c r="H173" s="91" t="s">
        <v>620</v>
      </c>
      <c r="I173" s="91" t="s">
        <v>621</v>
      </c>
      <c r="J173" s="91" t="s">
        <v>622</v>
      </c>
      <c r="K173" s="68"/>
      <c r="L173" s="68"/>
      <c r="M173" s="68"/>
      <c r="N173" s="68"/>
    </row>
    <row r="174" customFormat="false" ht="15" hidden="false" customHeight="true" outlineLevel="1" collapsed="false">
      <c r="A174" s="68"/>
      <c r="B174" s="72" t="s">
        <v>623</v>
      </c>
      <c r="C174" s="98" t="n">
        <f aca="false">Engine!D128*(1+Engine!D5/12)</f>
        <v>899601.395</v>
      </c>
      <c r="D174" s="112" t="n">
        <f aca="false">Engine!D116+(Engine!E116-Engine!D116)*(ROW()-181)/11</f>
        <v>0.0394318181818182</v>
      </c>
      <c r="E174" s="99" t="n">
        <f aca="false">C174*D174/12</f>
        <v>2956.07655364583</v>
      </c>
      <c r="F174" s="98" t="n">
        <f aca="false">Engine!D136*(1+Engine!E5/12)</f>
        <v>1077804.75833333</v>
      </c>
      <c r="G174" s="112" t="n">
        <f aca="false">Engine!D117+(Engine!E117-Engine!D117)*(ROW()-181)/11</f>
        <v>0.00563636363636364</v>
      </c>
      <c r="H174" s="99" t="n">
        <f aca="false">F174*G174/12</f>
        <v>506.241628914142</v>
      </c>
      <c r="I174" s="98" t="n">
        <f aca="false">(Engine!$E$126*(Engine!$D$14+(Engine!$E$14-Engine!$D$14)*(ROW()-181)/11)/12)+(C174*D174/12)+(Engine!$E$129*((Engine!$D$121+(Engine!$E$121-Engine!$D$121)*(ROW()-181)/11))/12)+(Engine!$E$130*((Engine!$D$119+(Engine!$E$119-Engine!$D$119)*(ROW()-181)/11))/12)-(F174*G174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1889.25197407292</v>
      </c>
      <c r="J174" s="99" t="n">
        <f aca="false">I174</f>
        <v>1889.25197407292</v>
      </c>
      <c r="K174" s="68"/>
      <c r="L174" s="68"/>
      <c r="M174" s="68"/>
      <c r="N174" s="68"/>
    </row>
    <row r="175" customFormat="false" ht="15" hidden="false" customHeight="true" outlineLevel="1" collapsed="false">
      <c r="A175" s="68"/>
      <c r="B175" s="72" t="s">
        <v>624</v>
      </c>
      <c r="C175" s="98" t="n">
        <f aca="false">C174*(1+Engine!$D$5/12)</f>
        <v>901850.3984875</v>
      </c>
      <c r="D175" s="112" t="n">
        <f aca="false">Engine!$D$116+(Engine!$E$116-Engine!$D$116)*(ROW()-181)/11</f>
        <v>0.0392272727272727</v>
      </c>
      <c r="E175" s="99" t="n">
        <f aca="false">C175*D175/12</f>
        <v>2948.09429505573</v>
      </c>
      <c r="F175" s="98" t="n">
        <f aca="false">F174*(1+Engine!$E$5/12)</f>
        <v>1080050.18491319</v>
      </c>
      <c r="G175" s="112" t="n">
        <f aca="false">Engine!$D$117+(Engine!$E$117-Engine!$D$117)*(ROW()-181)/11</f>
        <v>0.00554545454545455</v>
      </c>
      <c r="H175" s="99" t="n">
        <f aca="false">F175*G175/12</f>
        <v>499.114100603825</v>
      </c>
      <c r="I175" s="98" t="n">
        <f aca="false">(Engine!$E$126*(Engine!$D$14+(Engine!$E$14-Engine!$D$14)*(ROW()-181)/11)/12)+(C175*D175/12)+(Engine!$E$129*((Engine!$D$121+(Engine!$E$121-Engine!$D$121)*(ROW()-181)/11))/12)+(Engine!$E$130*((Engine!$D$119+(Engine!$E$119-Engine!$D$119)*(ROW()-181)/11))/12)-(F175*G175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1892.00609287284</v>
      </c>
      <c r="J175" s="99" t="n">
        <f aca="false">J174+I175</f>
        <v>3781.25806694576</v>
      </c>
      <c r="K175" s="68"/>
      <c r="L175" s="68"/>
      <c r="M175" s="68"/>
      <c r="N175" s="68"/>
    </row>
    <row r="176" customFormat="false" ht="15" hidden="false" customHeight="true" outlineLevel="1" collapsed="false">
      <c r="A176" s="68"/>
      <c r="B176" s="72" t="s">
        <v>625</v>
      </c>
      <c r="C176" s="98" t="n">
        <f aca="false">C175*(1+Engine!$D$5/12)</f>
        <v>904105.024483718</v>
      </c>
      <c r="D176" s="112" t="n">
        <f aca="false">Engine!$D$116+(Engine!$E$116-Engine!$D$116)*(ROW()-181)/11</f>
        <v>0.0390227272727273</v>
      </c>
      <c r="E176" s="99" t="n">
        <f aca="false">C176*D176/12</f>
        <v>2940.05364969421</v>
      </c>
      <c r="F176" s="98" t="n">
        <f aca="false">F175*(1+Engine!$E$5/12)</f>
        <v>1082300.2894651</v>
      </c>
      <c r="G176" s="112" t="n">
        <f aca="false">Engine!$D$117+(Engine!$E$117-Engine!$D$117)*(ROW()-181)/11</f>
        <v>0.00545454545454546</v>
      </c>
      <c r="H176" s="99" t="n">
        <f aca="false">F176*G176/12</f>
        <v>491.95467702959</v>
      </c>
      <c r="I176" s="98" t="n">
        <f aca="false">(Engine!$E$126*(Engine!$D$14+(Engine!$E$14-Engine!$D$14)*(ROW()-181)/11)/12)+(C176*D176/12)+(Engine!$E$129*((Engine!$D$121+(Engine!$E$121-Engine!$D$121)*(ROW()-181)/11))/12)+(Engine!$E$130*((Engine!$D$119+(Engine!$E$119-Engine!$D$119)*(ROW()-181)/11))/12)-(F176*G176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1894.73372016526</v>
      </c>
      <c r="J176" s="99" t="n">
        <f aca="false">J175+I176</f>
        <v>5675.99178711103</v>
      </c>
      <c r="K176" s="68"/>
      <c r="L176" s="68"/>
      <c r="M176" s="68"/>
      <c r="N176" s="68"/>
    </row>
    <row r="177" customFormat="false" ht="15" hidden="false" customHeight="true" outlineLevel="1" collapsed="false">
      <c r="A177" s="68"/>
      <c r="B177" s="72" t="s">
        <v>626</v>
      </c>
      <c r="C177" s="98" t="n">
        <f aca="false">C176*(1+Engine!$D$5/12)</f>
        <v>906365.287044928</v>
      </c>
      <c r="D177" s="112" t="n">
        <f aca="false">Engine!$D$116+(Engine!$E$116-Engine!$D$116)*(ROW()-181)/11</f>
        <v>0.0388181818181818</v>
      </c>
      <c r="E177" s="99" t="n">
        <f aca="false">C177*D177/12</f>
        <v>2931.95437551655</v>
      </c>
      <c r="F177" s="98" t="n">
        <f aca="false">F176*(1+Engine!$E$5/12)</f>
        <v>1084555.08173482</v>
      </c>
      <c r="G177" s="112" t="n">
        <f aca="false">Engine!$D$117+(Engine!$E$117-Engine!$D$117)*(ROW()-181)/11</f>
        <v>0.00536363636363637</v>
      </c>
      <c r="H177" s="99" t="n">
        <f aca="false">F177*G177/12</f>
        <v>484.763256229956</v>
      </c>
      <c r="I177" s="98" t="n">
        <f aca="false">(Engine!$E$126*(Engine!$D$14+(Engine!$E$14-Engine!$D$14)*(ROW()-181)/11)/12)+(C177*D177/12)+(Engine!$E$129*((Engine!$D$121+(Engine!$E$121-Engine!$D$121)*(ROW()-181)/11))/12)+(Engine!$E$130*((Engine!$D$119+(Engine!$E$119-Engine!$D$119)*(ROW()-181)/11))/12)-(F177*G177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1897.43471586694</v>
      </c>
      <c r="J177" s="99" t="n">
        <f aca="false">J176+I177</f>
        <v>7573.42650297796</v>
      </c>
      <c r="K177" s="68"/>
      <c r="L177" s="68"/>
      <c r="M177" s="68"/>
      <c r="N177" s="68"/>
    </row>
    <row r="178" customFormat="false" ht="15" hidden="false" customHeight="true" outlineLevel="1" collapsed="false">
      <c r="A178" s="68"/>
      <c r="B178" s="72" t="s">
        <v>627</v>
      </c>
      <c r="C178" s="98" t="n">
        <f aca="false">C177*(1+Engine!$D$5/12)</f>
        <v>908631.20026254</v>
      </c>
      <c r="D178" s="112" t="n">
        <f aca="false">Engine!$D$116+(Engine!$E$116-Engine!$D$116)*(ROW()-181)/11</f>
        <v>0.0386136363636364</v>
      </c>
      <c r="E178" s="99" t="n">
        <f aca="false">C178*D178/12</f>
        <v>2923.79622963268</v>
      </c>
      <c r="F178" s="98" t="n">
        <f aca="false">F177*(1+Engine!$E$5/12)</f>
        <v>1086814.57148843</v>
      </c>
      <c r="G178" s="112" t="n">
        <f aca="false">Engine!$D$117+(Engine!$E$117-Engine!$D$117)*(ROW()-181)/11</f>
        <v>0.00527272727272727</v>
      </c>
      <c r="H178" s="99" t="n">
        <f aca="false">F178*G178/12</f>
        <v>477.539735957038</v>
      </c>
      <c r="I178" s="98" t="n">
        <f aca="false">(Engine!$E$126*(Engine!$D$14+(Engine!$E$14-Engine!$D$14)*(ROW()-181)/11)/12)+(C178*D178/12)+(Engine!$E$129*((Engine!$D$121+(Engine!$E$121-Engine!$D$121)*(ROW()-181)/11))/12)+(Engine!$E$130*((Engine!$D$119+(Engine!$E$119-Engine!$D$119)*(ROW()-181)/11))/12)-(F178*G178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1900.10893933569</v>
      </c>
      <c r="J178" s="99" t="n">
        <f aca="false">J177+I178</f>
        <v>9473.53544231366</v>
      </c>
      <c r="K178" s="68"/>
      <c r="L178" s="68"/>
      <c r="M178" s="68"/>
      <c r="N178" s="68"/>
    </row>
    <row r="179" customFormat="false" ht="15" hidden="false" customHeight="true" outlineLevel="1" collapsed="false">
      <c r="A179" s="68"/>
      <c r="B179" s="72" t="s">
        <v>628</v>
      </c>
      <c r="C179" s="98" t="n">
        <f aca="false">C178*(1+Engine!$D$5/12)</f>
        <v>910902.778263196</v>
      </c>
      <c r="D179" s="112" t="n">
        <f aca="false">Engine!$D$116+(Engine!$E$116-Engine!$D$116)*(ROW()-181)/11</f>
        <v>0.0384090909090909</v>
      </c>
      <c r="E179" s="99" t="n">
        <f aca="false">C179*D179/12</f>
        <v>2915.57896830455</v>
      </c>
      <c r="F179" s="98" t="n">
        <f aca="false">F178*(1+Engine!$E$5/12)</f>
        <v>1089078.76851237</v>
      </c>
      <c r="G179" s="112" t="n">
        <f aca="false">Engine!$D$117+(Engine!$E$117-Engine!$D$117)*(ROW()-181)/11</f>
        <v>0.00518181818181818</v>
      </c>
      <c r="H179" s="99" t="n">
        <f aca="false">F179*G179/12</f>
        <v>470.284013675794</v>
      </c>
      <c r="I179" s="98" t="n">
        <f aca="false">(Engine!$E$126*(Engine!$D$14+(Engine!$E$14-Engine!$D$14)*(ROW()-181)/11)/12)+(C179*D179/12)+(Engine!$E$129*((Engine!$D$121+(Engine!$E$121-Engine!$D$121)*(ROW()-181)/11))/12)+(Engine!$E$130*((Engine!$D$119+(Engine!$E$119-Engine!$D$119)*(ROW()-181)/11))/12)-(F179*G179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1902.75624936851</v>
      </c>
      <c r="J179" s="99" t="n">
        <f aca="false">J178+I179</f>
        <v>11376.2916916822</v>
      </c>
      <c r="K179" s="68"/>
      <c r="L179" s="68"/>
      <c r="M179" s="68"/>
      <c r="N179" s="68"/>
    </row>
    <row r="180" customFormat="false" ht="15" hidden="false" customHeight="true" outlineLevel="1" collapsed="false">
      <c r="A180" s="68"/>
      <c r="B180" s="72" t="s">
        <v>629</v>
      </c>
      <c r="C180" s="98" t="n">
        <f aca="false">C179*(1+Engine!$D$5/12)</f>
        <v>913180.035208854</v>
      </c>
      <c r="D180" s="112" t="n">
        <f aca="false">Engine!$D$116+(Engine!$E$116-Engine!$D$116)*(ROW()-181)/11</f>
        <v>0.0382045454545455</v>
      </c>
      <c r="E180" s="99" t="n">
        <f aca="false">C180*D180/12</f>
        <v>2907.30234694334</v>
      </c>
      <c r="F180" s="98" t="n">
        <f aca="false">F179*(1+Engine!$E$5/12)</f>
        <v>1091347.68261343</v>
      </c>
      <c r="G180" s="112" t="n">
        <f aca="false">Engine!$D$117+(Engine!$E$117-Engine!$D$117)*(ROW()-181)/11</f>
        <v>0.00509090909090909</v>
      </c>
      <c r="H180" s="99" t="n">
        <f aca="false">F180*G180/12</f>
        <v>462.995986563275</v>
      </c>
      <c r="I180" s="98" t="n">
        <f aca="false">(Engine!$E$126*(Engine!$D$14+(Engine!$E$14-Engine!$D$14)*(ROW()-181)/11)/12)+(C180*D180/12)+(Engine!$E$129*((Engine!$D$121+(Engine!$E$121-Engine!$D$121)*(ROW()-181)/11))/12)+(Engine!$E$130*((Engine!$D$119+(Engine!$E$119-Engine!$D$119)*(ROW()-181)/11))/12)-(F180*G180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1905.37650419953</v>
      </c>
      <c r="J180" s="99" t="n">
        <f aca="false">J179+I180</f>
        <v>13281.6681958817</v>
      </c>
      <c r="K180" s="68"/>
      <c r="L180" s="68"/>
      <c r="M180" s="68"/>
      <c r="N180" s="68"/>
    </row>
    <row r="181" customFormat="false" ht="15" hidden="false" customHeight="true" outlineLevel="1" collapsed="false">
      <c r="A181" s="68"/>
      <c r="B181" s="72" t="s">
        <v>630</v>
      </c>
      <c r="C181" s="98" t="n">
        <f aca="false">C180*(1+Engine!$D$5/12)</f>
        <v>915462.985296876</v>
      </c>
      <c r="D181" s="112" t="n">
        <f aca="false">Engine!$D$116+(Engine!$E$116-Engine!$D$116)*(ROW()-181)/11</f>
        <v>0.038</v>
      </c>
      <c r="E181" s="99" t="n">
        <f aca="false">C181*D181/12</f>
        <v>2898.96612010678</v>
      </c>
      <c r="F181" s="98" t="n">
        <f aca="false">F180*(1+Engine!$E$5/12)</f>
        <v>1093621.32361888</v>
      </c>
      <c r="G181" s="112" t="n">
        <f aca="false">Engine!$D$117+(Engine!$E$117-Engine!$D$117)*(ROW()-181)/11</f>
        <v>0.005</v>
      </c>
      <c r="H181" s="99" t="n">
        <f aca="false">F181*G181/12</f>
        <v>455.675551507866</v>
      </c>
      <c r="I181" s="98" t="n">
        <f aca="false">(Engine!$E$126*(Engine!$D$14+(Engine!$E$14-Engine!$D$14)*(ROW()-181)/11)/12)+(C181*D181/12)+(Engine!$E$129*((Engine!$D$121+(Engine!$E$121-Engine!$D$121)*(ROW()-181)/11))/12)+(Engine!$E$130*((Engine!$D$119+(Engine!$E$119-Engine!$D$119)*(ROW()-181)/11))/12)-(F181*G181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1907.96956149807</v>
      </c>
      <c r="J181" s="99" t="n">
        <f aca="false">J180+I181</f>
        <v>15189.6377573798</v>
      </c>
      <c r="K181" s="68"/>
      <c r="L181" s="68"/>
      <c r="M181" s="68"/>
      <c r="N181" s="68"/>
    </row>
    <row r="182" customFormat="false" ht="15" hidden="false" customHeight="true" outlineLevel="1" collapsed="false">
      <c r="A182" s="68"/>
      <c r="B182" s="72" t="s">
        <v>631</v>
      </c>
      <c r="C182" s="98" t="n">
        <f aca="false">C181*(1+Engine!$D$5/12)</f>
        <v>917751.642760119</v>
      </c>
      <c r="D182" s="112" t="n">
        <f aca="false">Engine!$D$116+(Engine!$E$116-Engine!$D$116)*(ROW()-181)/11</f>
        <v>0.0377954545454545</v>
      </c>
      <c r="E182" s="99" t="n">
        <f aca="false">C182*D182/12</f>
        <v>2890.57004149636</v>
      </c>
      <c r="F182" s="98" t="n">
        <f aca="false">F181*(1+Engine!$E$5/12)</f>
        <v>1095899.70137642</v>
      </c>
      <c r="G182" s="112" t="n">
        <f aca="false">Engine!$D$117+(Engine!$E$117-Engine!$D$117)*(ROW()-181)/11</f>
        <v>0.00490909090909091</v>
      </c>
      <c r="H182" s="99" t="n">
        <f aca="false">F182*G182/12</f>
        <v>448.322605108534</v>
      </c>
      <c r="I182" s="98" t="n">
        <f aca="false">(Engine!$E$126*(Engine!$D$14+(Engine!$E$14-Engine!$D$14)*(ROW()-181)/11)/12)+(C182*D182/12)+(Engine!$E$129*((Engine!$D$121+(Engine!$E$121-Engine!$D$121)*(ROW()-181)/11))/12)+(Engine!$E$130*((Engine!$D$119+(Engine!$E$119-Engine!$D$119)*(ROW()-181)/11))/12)-(F182*G182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1910.53527836669</v>
      </c>
      <c r="J182" s="99" t="n">
        <f aca="false">J181+I182</f>
        <v>17100.1730357465</v>
      </c>
      <c r="K182" s="68"/>
      <c r="L182" s="68"/>
      <c r="M182" s="68"/>
      <c r="N182" s="68"/>
    </row>
    <row r="183" customFormat="false" ht="15" hidden="false" customHeight="true" outlineLevel="1" collapsed="false">
      <c r="A183" s="68"/>
      <c r="B183" s="72" t="s">
        <v>632</v>
      </c>
      <c r="C183" s="98" t="n">
        <f aca="false">C182*(1+Engine!$D$5/12)</f>
        <v>920046.021867019</v>
      </c>
      <c r="D183" s="112" t="n">
        <f aca="false">Engine!$D$116+(Engine!$E$116-Engine!$D$116)*(ROW()-181)/11</f>
        <v>0.0375909090909091</v>
      </c>
      <c r="E183" s="99" t="n">
        <f aca="false">C183*D183/12</f>
        <v>2882.11386395464</v>
      </c>
      <c r="F183" s="98" t="n">
        <f aca="false">F182*(1+Engine!$E$5/12)</f>
        <v>1098182.82575428</v>
      </c>
      <c r="G183" s="112" t="n">
        <f aca="false">Engine!$D$117+(Engine!$E$117-Engine!$D$117)*(ROW()-181)/11</f>
        <v>0.00481818181818182</v>
      </c>
      <c r="H183" s="99" t="n">
        <f aca="false">F183*G183/12</f>
        <v>440.937043674069</v>
      </c>
      <c r="I183" s="98" t="n">
        <f aca="false">(Engine!$E$126*(Engine!$D$14+(Engine!$E$14-Engine!$D$14)*(ROW()-181)/11)/12)+(C183*D183/12)+(Engine!$E$129*((Engine!$D$121+(Engine!$E$121-Engine!$D$121)*(ROW()-181)/11))/12)+(Engine!$E$130*((Engine!$D$119+(Engine!$E$119-Engine!$D$119)*(ROW()-181)/11))/12)-(F183*G183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1913.07351133914</v>
      </c>
      <c r="J183" s="99" t="n">
        <f aca="false">J182+I183</f>
        <v>19013.2465470856</v>
      </c>
      <c r="K183" s="68"/>
      <c r="L183" s="68"/>
      <c r="M183" s="68"/>
      <c r="N183" s="68"/>
    </row>
    <row r="184" customFormat="false" ht="15" hidden="false" customHeight="true" outlineLevel="1" collapsed="false">
      <c r="A184" s="68"/>
      <c r="B184" s="72" t="s">
        <v>633</v>
      </c>
      <c r="C184" s="98" t="n">
        <f aca="false">C183*(1+Engine!$D$5/12)</f>
        <v>922346.136921686</v>
      </c>
      <c r="D184" s="112" t="n">
        <f aca="false">Engine!$D$116+(Engine!$E$116-Engine!$D$116)*(ROW()-181)/11</f>
        <v>0.0373863636363636</v>
      </c>
      <c r="E184" s="99" t="n">
        <f aca="false">C184*D184/12</f>
        <v>2873.59733946245</v>
      </c>
      <c r="F184" s="98" t="n">
        <f aca="false">F183*(1+Engine!$E$5/12)</f>
        <v>1100470.70664127</v>
      </c>
      <c r="G184" s="112" t="n">
        <f aca="false">Engine!$D$117+(Engine!$E$117-Engine!$D$117)*(ROW()-181)/11</f>
        <v>0.00472727272727273</v>
      </c>
      <c r="H184" s="99" t="n">
        <f aca="false">F184*G184/12</f>
        <v>433.51876322232</v>
      </c>
      <c r="I184" s="98" t="n">
        <f aca="false">(Engine!$E$126*(Engine!$D$14+(Engine!$E$14-Engine!$D$14)*(ROW()-181)/11)/12)+(C184*D184/12)+(Engine!$E$129*((Engine!$D$121+(Engine!$E$121-Engine!$D$121)*(ROW()-181)/11))/12)+(Engine!$E$130*((Engine!$D$119+(Engine!$E$119-Engine!$D$119)*(ROW()-181)/11))/12)-(F184*G184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1915.58411637841</v>
      </c>
      <c r="J184" s="99" t="n">
        <f aca="false">J183+I184</f>
        <v>20928.830663464</v>
      </c>
      <c r="K184" s="68"/>
      <c r="L184" s="68"/>
      <c r="M184" s="68"/>
      <c r="N184" s="68"/>
    </row>
    <row r="185" customFormat="false" ht="15" hidden="false" customHeight="true" outlineLevel="1" collapsed="false">
      <c r="A185" s="68"/>
      <c r="B185" s="72" t="s">
        <v>634</v>
      </c>
      <c r="C185" s="98" t="n">
        <f aca="false">C184*(1+Engine!$D$5/12)</f>
        <v>924652.00226399</v>
      </c>
      <c r="D185" s="112" t="n">
        <f aca="false">Engine!$D$116+(Engine!$E$116-Engine!$D$116)*(ROW()-181)/11</f>
        <v>0.0371818181818182</v>
      </c>
      <c r="E185" s="99" t="n">
        <f aca="false">C185*D185/12</f>
        <v>2865.02021913615</v>
      </c>
      <c r="F185" s="98" t="n">
        <f aca="false">F184*(1+Engine!$E$5/12)</f>
        <v>1102763.35394678</v>
      </c>
      <c r="G185" s="112" t="n">
        <f aca="false">Engine!$D$117+(Engine!$E$117-Engine!$D$117)*(ROW()-181)/11</f>
        <v>0.00463636363636364</v>
      </c>
      <c r="H185" s="99" t="n">
        <f aca="false">F185*G185/12</f>
        <v>426.067659479436</v>
      </c>
      <c r="I185" s="98" t="n">
        <f aca="false">(Engine!$E$126*(Engine!$D$14+(Engine!$E$14-Engine!$D$14)*(ROW()-181)/11)/12)+(C185*D185/12)+(Engine!$E$129*((Engine!$D$121+(Engine!$E$121-Engine!$D$121)*(ROW()-181)/11))/12)+(Engine!$E$130*((Engine!$D$119+(Engine!$E$119-Engine!$D$119)*(ROW()-181)/11))/12)-(F185*G185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1918.0669488747</v>
      </c>
      <c r="J185" s="99" t="n">
        <f aca="false">J184+I185</f>
        <v>22846.8976123387</v>
      </c>
      <c r="K185" s="68"/>
      <c r="L185" s="68"/>
      <c r="M185" s="68"/>
      <c r="N185" s="68"/>
    </row>
    <row r="186" customFormat="false" ht="15" hidden="false" customHeight="true" outlineLevel="1" collapsed="false">
      <c r="A186" s="68"/>
      <c r="B186" s="72" t="s">
        <v>635</v>
      </c>
      <c r="C186" s="68"/>
      <c r="D186" s="68"/>
      <c r="E186" s="68"/>
      <c r="F186" s="68"/>
      <c r="G186" s="68"/>
      <c r="H186" s="68"/>
      <c r="I186" s="68"/>
      <c r="J186" s="99" t="n">
        <f aca="false">SUM(I174:I185)</f>
        <v>22846.8976123387</v>
      </c>
      <c r="K186" s="68"/>
      <c r="L186" s="68"/>
      <c r="M186" s="68"/>
      <c r="N186" s="68"/>
    </row>
    <row r="187" customFormat="false" ht="15" hidden="false" customHeight="true" outlineLevel="1" collapsed="false">
      <c r="A187" s="68"/>
      <c r="B187" s="72" t="s">
        <v>636</v>
      </c>
      <c r="C187" s="68"/>
      <c r="D187" s="68"/>
      <c r="E187" s="68"/>
      <c r="F187" s="68"/>
      <c r="G187" s="68"/>
      <c r="H187" s="68"/>
      <c r="I187" s="68"/>
      <c r="J187" s="99" t="n">
        <f aca="false">J186-D23</f>
        <v>161.229064027739</v>
      </c>
      <c r="K187" s="68"/>
      <c r="L187" s="68"/>
      <c r="M187" s="68"/>
      <c r="N187" s="68"/>
    </row>
    <row r="188" customFormat="false" ht="15" hidden="false" customHeight="true" outlineLevel="1" collapsed="false">
      <c r="A188" s="68"/>
      <c r="B188" s="72" t="s">
        <v>637</v>
      </c>
      <c r="C188" s="68"/>
      <c r="D188" s="68"/>
      <c r="E188" s="68"/>
      <c r="F188" s="68"/>
      <c r="G188" s="68"/>
      <c r="H188" s="68"/>
      <c r="I188" s="68"/>
      <c r="J188" s="99" t="n">
        <f aca="false">ABS(J187/D23)</f>
        <v>0.00710708893962673</v>
      </c>
      <c r="K188" s="68"/>
      <c r="L188" s="68"/>
      <c r="M188" s="68"/>
      <c r="N188" s="68"/>
    </row>
    <row r="189" customFormat="false" ht="15" hidden="false" customHeight="true" outlineLevel="1" collapsed="false">
      <c r="A189" s="68"/>
      <c r="B189" s="72" t="s">
        <v>638</v>
      </c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</row>
    <row r="190" customFormat="false" ht="15" hidden="false" customHeight="true" outlineLevel="1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</row>
    <row r="191" customFormat="false" ht="15" hidden="false" customHeight="true" outlineLevel="1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</row>
    <row r="192" customFormat="false" ht="15" hidden="false" customHeight="true" outlineLevel="1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</row>
    <row r="193" customFormat="false" ht="15" hidden="false" customHeight="true" outlineLevel="1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</row>
    <row r="194" customFormat="false" ht="15" hidden="false" customHeight="true" outlineLevel="1" collapsed="false">
      <c r="A194" s="68"/>
      <c r="B194" s="88"/>
      <c r="C194" s="88"/>
      <c r="D194" s="88"/>
      <c r="E194" s="88"/>
      <c r="F194" s="88"/>
      <c r="G194" s="88"/>
      <c r="H194" s="68"/>
      <c r="I194" s="68"/>
      <c r="J194" s="68"/>
      <c r="K194" s="68"/>
      <c r="L194" s="68"/>
      <c r="M194" s="68"/>
      <c r="N194" s="68"/>
    </row>
    <row r="195" customFormat="false" ht="18" hidden="false" customHeight="true" outlineLevel="1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</row>
    <row r="196" customFormat="false" ht="27.75" hidden="false" customHeight="true" outlineLevel="1" collapsed="false">
      <c r="A196" s="68"/>
      <c r="B196" s="67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</row>
    <row r="197" customFormat="false" ht="15" hidden="false" customHeight="true" outlineLevel="0" collapsed="false">
      <c r="A197" s="64"/>
      <c r="B197" s="79" t="str">
        <f aca="false">"SECTION 13 — MATURITY LADDER | LIQUIDITY STRESS | EBA/GL/2014/35 | Scenario: "&amp;CHOOSE(Engine!C4,"Base","Rate Hike","Rate Cut","Stress")</f>
        <v>SECTION 13 — MATURITY LADDER | LIQUIDITY STRESS | EBA/GL/2014/35 | Scenario: Base</v>
      </c>
      <c r="C197" s="79"/>
      <c r="D197" s="79"/>
      <c r="E197" s="79"/>
      <c r="F197" s="79"/>
      <c r="G197" s="79"/>
      <c r="H197" s="79"/>
      <c r="I197" s="79"/>
      <c r="J197" s="78"/>
      <c r="K197" s="78"/>
      <c r="L197" s="78"/>
      <c r="M197" s="68"/>
      <c r="N197" s="68"/>
    </row>
    <row r="198" customFormat="false" ht="15" hidden="false" customHeight="true" outlineLevel="1" collapsed="false">
      <c r="A198" s="68"/>
      <c r="B198" s="72" t="s">
        <v>639</v>
      </c>
      <c r="C198" s="120" t="s">
        <v>640</v>
      </c>
      <c r="D198" s="120" t="s">
        <v>641</v>
      </c>
      <c r="E198" s="120" t="s">
        <v>642</v>
      </c>
      <c r="F198" s="91" t="s">
        <v>643</v>
      </c>
      <c r="G198" s="91" t="s">
        <v>644</v>
      </c>
      <c r="H198" s="91" t="s">
        <v>645</v>
      </c>
      <c r="I198" s="68"/>
      <c r="J198" s="68"/>
      <c r="K198" s="68"/>
      <c r="L198" s="68"/>
      <c r="M198" s="68"/>
      <c r="N198" s="68"/>
    </row>
    <row r="199" customFormat="false" ht="15" hidden="false" customHeight="true" outlineLevel="1" collapsed="false">
      <c r="A199" s="68"/>
      <c r="B199" s="72" t="s">
        <v>646</v>
      </c>
      <c r="C199" s="98" t="n">
        <f aca="false">Engine!D126*0.95</f>
        <v>200763.5</v>
      </c>
      <c r="D199" s="98" t="n">
        <f aca="false">Engine!D136*0.003+Engine!D137*0.05</f>
        <v>6723.592</v>
      </c>
      <c r="E199" s="99" t="n">
        <f aca="false">C199-D199</f>
        <v>194039.908</v>
      </c>
      <c r="F199" s="99" t="n">
        <f aca="false">E199</f>
        <v>194039.908</v>
      </c>
      <c r="G199" s="99" t="n">
        <f aca="false">C74*0.95</f>
        <v>346215.15</v>
      </c>
      <c r="H199" s="99" t="str">
        <f aca="false">IF(F199+G199&gt;0,"Solvent","BREACH")</f>
        <v>Solvent</v>
      </c>
      <c r="I199" s="68"/>
      <c r="J199" s="68"/>
      <c r="K199" s="68"/>
      <c r="L199" s="68"/>
      <c r="M199" s="68"/>
      <c r="N199" s="68"/>
    </row>
    <row r="200" customFormat="false" ht="15" hidden="false" customHeight="true" outlineLevel="1" collapsed="false">
      <c r="A200" s="68"/>
      <c r="B200" s="72" t="s">
        <v>647</v>
      </c>
      <c r="C200" s="98" t="n">
        <f aca="false">Engine!D130*0.1</f>
        <v>15310.7</v>
      </c>
      <c r="D200" s="98" t="n">
        <f aca="false">Engine!D136*0.01+Engine!D138*0.1</f>
        <v>46550.34</v>
      </c>
      <c r="E200" s="99" t="n">
        <f aca="false">C200-D200</f>
        <v>-31239.64</v>
      </c>
      <c r="F200" s="99" t="n">
        <f aca="false">F199+E200</f>
        <v>162800.268</v>
      </c>
      <c r="G200" s="99" t="n">
        <f aca="false">C74*0.95</f>
        <v>346215.15</v>
      </c>
      <c r="H200" s="99" t="str">
        <f aca="false">IF(F200+G200&gt;0,"Solvent","BREACH")</f>
        <v>Solvent</v>
      </c>
      <c r="I200" s="68"/>
      <c r="J200" s="68"/>
      <c r="K200" s="68"/>
      <c r="L200" s="68"/>
      <c r="M200" s="68"/>
      <c r="N200" s="68"/>
    </row>
    <row r="201" customFormat="false" ht="15" hidden="false" customHeight="true" outlineLevel="1" collapsed="false">
      <c r="A201" s="68"/>
      <c r="B201" s="72" t="s">
        <v>648</v>
      </c>
      <c r="C201" s="98" t="n">
        <f aca="false">Engine!D128*0.02+Engine!D129*0.3</f>
        <v>25824.86</v>
      </c>
      <c r="D201" s="98" t="n">
        <f aca="false">Engine!D136*0.03+Engine!D137*0.5+Engine!D138*0.2</f>
        <v>138825.32</v>
      </c>
      <c r="E201" s="99" t="n">
        <f aca="false">C201-D201</f>
        <v>-113000.46</v>
      </c>
      <c r="F201" s="99" t="n">
        <f aca="false">F200+E201</f>
        <v>49799.808</v>
      </c>
      <c r="G201" s="99" t="n">
        <f aca="false">C74*1</f>
        <v>364437</v>
      </c>
      <c r="H201" s="99" t="str">
        <f aca="false">IF(F201+G201&gt;0,"Solvent","BREACH")</f>
        <v>Solvent</v>
      </c>
      <c r="I201" s="68"/>
      <c r="J201" s="68"/>
      <c r="K201" s="68"/>
      <c r="L201" s="68"/>
      <c r="M201" s="68"/>
      <c r="N201" s="68"/>
    </row>
    <row r="202" customFormat="false" ht="15" hidden="false" customHeight="true" outlineLevel="1" collapsed="false">
      <c r="A202" s="68"/>
      <c r="B202" s="72" t="s">
        <v>649</v>
      </c>
      <c r="C202" s="98" t="n">
        <f aca="false">Engine!D128*0.05+Engine!D130*0.2</f>
        <v>75489.3</v>
      </c>
      <c r="D202" s="98" t="n">
        <f aca="false">Engine!D136*0.05+Engine!D139*0.15</f>
        <v>79868.15</v>
      </c>
      <c r="E202" s="99" t="n">
        <f aca="false">C202-D202</f>
        <v>-4378.85000000001</v>
      </c>
      <c r="F202" s="99" t="n">
        <f aca="false">F201+E202</f>
        <v>45420.958</v>
      </c>
      <c r="G202" s="99" t="n">
        <f aca="false">C74*1</f>
        <v>364437</v>
      </c>
      <c r="H202" s="99" t="str">
        <f aca="false">IF(F202+G202&gt;0,"Solvent","BREACH")</f>
        <v>Solvent</v>
      </c>
      <c r="I202" s="68"/>
      <c r="J202" s="68"/>
      <c r="K202" s="68"/>
      <c r="L202" s="68"/>
      <c r="M202" s="68"/>
      <c r="N202" s="68"/>
    </row>
    <row r="203" customFormat="false" ht="15" hidden="false" customHeight="true" outlineLevel="1" collapsed="false">
      <c r="A203" s="68"/>
      <c r="B203" s="72" t="s">
        <v>650</v>
      </c>
      <c r="C203" s="98" t="n">
        <f aca="false">Engine!D128*0.08+Engine!D130*0.15</f>
        <v>94754.69</v>
      </c>
      <c r="D203" s="98" t="n">
        <f aca="false">Engine!D136*0.07+Engine!D139*0.2</f>
        <v>110076.08</v>
      </c>
      <c r="E203" s="99" t="n">
        <f aca="false">C203-D203</f>
        <v>-15321.39</v>
      </c>
      <c r="F203" s="99" t="n">
        <f aca="false">F202+E203</f>
        <v>30099.568</v>
      </c>
      <c r="G203" s="99" t="n">
        <f aca="false">C74*1</f>
        <v>364437</v>
      </c>
      <c r="H203" s="99" t="str">
        <f aca="false">IF(F203+G203&gt;0,"Solvent","BREACH")</f>
        <v>Solvent</v>
      </c>
      <c r="I203" s="68"/>
      <c r="J203" s="68"/>
      <c r="K203" s="68"/>
      <c r="L203" s="68"/>
      <c r="M203" s="68"/>
      <c r="N203" s="68"/>
    </row>
    <row r="204" customFormat="false" ht="15" hidden="false" customHeight="true" outlineLevel="1" collapsed="false">
      <c r="A204" s="68"/>
      <c r="B204" s="72" t="s">
        <v>651</v>
      </c>
      <c r="C204" s="98" t="n">
        <f aca="false">Engine!D128*0.12+Engine!D130*0.1</f>
        <v>122993.66</v>
      </c>
      <c r="D204" s="98" t="n">
        <f aca="false">Engine!D136*0.1+Engine!D140*0.3</f>
        <v>117896.8</v>
      </c>
      <c r="E204" s="99" t="n">
        <f aca="false">C204-D204</f>
        <v>5096.85999999999</v>
      </c>
      <c r="F204" s="99" t="n">
        <f aca="false">F203+E204</f>
        <v>35196.4279999999</v>
      </c>
      <c r="G204" s="99" t="n">
        <f aca="false">C74*1</f>
        <v>364437</v>
      </c>
      <c r="H204" s="99" t="str">
        <f aca="false">IF(F204+G204&gt;0,"Solvent","BREACH")</f>
        <v>Solvent</v>
      </c>
      <c r="I204" s="68"/>
      <c r="J204" s="68"/>
      <c r="K204" s="68"/>
      <c r="L204" s="68"/>
      <c r="M204" s="68"/>
      <c r="N204" s="68"/>
    </row>
    <row r="205" customFormat="false" ht="15" hidden="false" customHeight="true" outlineLevel="1" collapsed="false">
      <c r="A205" s="68"/>
      <c r="B205" s="72" t="s">
        <v>652</v>
      </c>
      <c r="C205" s="98" t="n">
        <f aca="false">Engine!D128*0.73+Engine!D130*0.45</f>
        <v>723969.49</v>
      </c>
      <c r="D205" s="98" t="n">
        <f aca="false">Engine!D136*0.74+Engine!D139*0.65+Engine!D140*0.7</f>
        <v>933101.41</v>
      </c>
      <c r="E205" s="99" t="n">
        <f aca="false">C205-D205</f>
        <v>-209131.92</v>
      </c>
      <c r="F205" s="99" t="n">
        <f aca="false">F204+E205</f>
        <v>-173935.492</v>
      </c>
      <c r="G205" s="99" t="n">
        <f aca="false">C74*1</f>
        <v>364437</v>
      </c>
      <c r="H205" s="99" t="str">
        <f aca="false">IF(F205+G205&gt;0,"Solvent","BREACH")</f>
        <v>Solvent</v>
      </c>
      <c r="I205" s="68"/>
      <c r="J205" s="68"/>
      <c r="K205" s="68"/>
      <c r="L205" s="68"/>
      <c r="M205" s="68"/>
      <c r="N205" s="68"/>
    </row>
    <row r="206" customFormat="false" ht="15" hidden="false" customHeight="true" outlineLevel="1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</row>
    <row r="207" customFormat="false" ht="15" hidden="false" customHeight="true" outlineLevel="1" collapsed="false">
      <c r="A207" s="68"/>
      <c r="B207" s="72" t="s">
        <v>653</v>
      </c>
      <c r="C207" s="68"/>
      <c r="D207" s="68"/>
      <c r="E207" s="68"/>
      <c r="F207" s="99" t="str">
        <f aca="false">IFERROR(CHOOSE(MATCH("BREACH",H199:H205,0),"1 Day","1 Week","1 Month","3 Months","6 Months","1 Year","2 Year+"),"Beyond 2 years")</f>
        <v>Beyond 2 years</v>
      </c>
      <c r="G207" s="68"/>
      <c r="H207" s="68"/>
      <c r="I207" s="68"/>
      <c r="J207" s="68"/>
      <c r="K207" s="68"/>
      <c r="L207" s="68"/>
      <c r="M207" s="68"/>
      <c r="N207" s="68"/>
    </row>
    <row r="208" customFormat="false" ht="15" hidden="false" customHeight="true" outlineLevel="1" collapsed="false">
      <c r="A208" s="68"/>
      <c r="B208" s="72" t="s">
        <v>654</v>
      </c>
      <c r="C208" s="68"/>
      <c r="D208" s="68"/>
      <c r="E208" s="68"/>
      <c r="F208" s="99" t="n">
        <f aca="false">MIN(F199:F205)</f>
        <v>-173935.492</v>
      </c>
      <c r="G208" s="68"/>
      <c r="H208" s="68"/>
      <c r="I208" s="68"/>
      <c r="J208" s="68"/>
      <c r="K208" s="68"/>
      <c r="L208" s="68"/>
      <c r="M208" s="68"/>
      <c r="N208" s="68"/>
    </row>
    <row r="209" customFormat="false" ht="15" hidden="false" customHeight="true" outlineLevel="1" collapsed="false">
      <c r="A209" s="68"/>
      <c r="B209" s="72" t="s">
        <v>655</v>
      </c>
      <c r="C209" s="68"/>
      <c r="D209" s="68"/>
      <c r="E209" s="68"/>
      <c r="F209" s="99" t="n">
        <f aca="false">MIN(G199:G205)/ABS(MIN(F199:F205))</f>
        <v>1.99048018330842</v>
      </c>
      <c r="G209" s="68"/>
      <c r="H209" s="68"/>
      <c r="I209" s="68"/>
      <c r="J209" s="68"/>
      <c r="K209" s="68"/>
      <c r="L209" s="68"/>
      <c r="M209" s="68"/>
      <c r="N209" s="68"/>
    </row>
    <row r="210" customFormat="false" ht="15" hidden="false" customHeight="true" outlineLevel="1" collapsed="false">
      <c r="A210" s="68"/>
      <c r="B210" s="72" t="s">
        <v>656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</row>
    <row r="211" customFormat="false" ht="15" hidden="false" customHeight="true" outlineLevel="1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</row>
    <row r="212" customFormat="false" ht="15" hidden="false" customHeight="true" outlineLevel="1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</row>
    <row r="213" customFormat="false" ht="15" hidden="false" customHeight="true" outlineLevel="1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</row>
    <row r="214" customFormat="false" ht="15" hidden="false" customHeight="true" outlineLevel="1" collapsed="false">
      <c r="A214" s="68"/>
      <c r="B214" s="88"/>
      <c r="C214" s="88"/>
      <c r="D214" s="88"/>
      <c r="E214" s="88"/>
      <c r="F214" s="88"/>
      <c r="G214" s="88"/>
      <c r="H214" s="68"/>
      <c r="I214" s="68"/>
      <c r="J214" s="68"/>
      <c r="K214" s="68"/>
      <c r="L214" s="68"/>
      <c r="M214" s="68"/>
      <c r="N214" s="68"/>
    </row>
    <row r="215" customFormat="false" ht="18" hidden="false" customHeight="true" outlineLevel="1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</row>
    <row r="216" customFormat="false" ht="27.75" hidden="false" customHeight="true" outlineLevel="1" collapsed="false">
      <c r="A216" s="68"/>
      <c r="B216" s="67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</row>
    <row r="217" customFormat="false" ht="15" hidden="false" customHeight="true" outlineLevel="0" collapsed="false">
      <c r="A217" s="64"/>
      <c r="B217" s="79" t="str">
        <f aca="false">"SECTION 14 — PVBP / DV01 | DURATION-WEIGHTED EVE | EBA/GL/2022/14 | Scenario: "&amp;CHOOSE(Engine!C4,"Base","Rate Hike","Rate Cut","Stress")</f>
        <v>SECTION 14 — PVBP / DV01 | DURATION-WEIGHTED EVE | EBA/GL/2022/14 | Scenario: Base</v>
      </c>
      <c r="C217" s="79"/>
      <c r="D217" s="79"/>
      <c r="E217" s="79"/>
      <c r="F217" s="79"/>
      <c r="G217" s="79"/>
      <c r="H217" s="79"/>
      <c r="I217" s="79"/>
      <c r="J217" s="78"/>
      <c r="K217" s="78"/>
      <c r="L217" s="78"/>
      <c r="M217" s="68"/>
      <c r="N217" s="68"/>
    </row>
    <row r="218" customFormat="false" ht="15" hidden="false" customHeight="true" outlineLevel="1" collapsed="false">
      <c r="A218" s="68"/>
      <c r="B218" s="72" t="s">
        <v>639</v>
      </c>
      <c r="C218" s="120" t="s">
        <v>657</v>
      </c>
      <c r="D218" s="120" t="s">
        <v>658</v>
      </c>
      <c r="E218" s="120" t="s">
        <v>659</v>
      </c>
      <c r="F218" s="91" t="s">
        <v>660</v>
      </c>
      <c r="G218" s="91" t="s">
        <v>661</v>
      </c>
      <c r="H218" s="68"/>
      <c r="I218" s="68"/>
      <c r="J218" s="68"/>
      <c r="K218" s="68"/>
      <c r="L218" s="68"/>
      <c r="M218" s="68"/>
      <c r="N218" s="68"/>
    </row>
    <row r="219" customFormat="false" ht="15" hidden="false" customHeight="true" outlineLevel="1" collapsed="false">
      <c r="A219" s="68"/>
      <c r="B219" s="72" t="s">
        <v>500</v>
      </c>
      <c r="C219" s="99" t="n">
        <f aca="false">E40</f>
        <v>-605675.9</v>
      </c>
      <c r="D219" s="81" t="n">
        <f aca="false">Engine!$C$176</f>
        <v>0.003</v>
      </c>
      <c r="E219" s="99" t="n">
        <f aca="false">C219*D219*0.0001</f>
        <v>-0.18170277</v>
      </c>
      <c r="F219" s="99" t="n">
        <f aca="false">E219</f>
        <v>-0.18170277</v>
      </c>
      <c r="G219" s="84" t="n">
        <f aca="false">E219/SUM(E$219:E$225)</f>
        <v>0.000934004816776621</v>
      </c>
      <c r="H219" s="68"/>
      <c r="I219" s="68"/>
      <c r="J219" s="68"/>
      <c r="K219" s="68"/>
      <c r="L219" s="68"/>
      <c r="M219" s="68"/>
      <c r="N219" s="68"/>
    </row>
    <row r="220" customFormat="false" ht="15" hidden="false" customHeight="true" outlineLevel="1" collapsed="false">
      <c r="A220" s="68"/>
      <c r="B220" s="72" t="s">
        <v>501</v>
      </c>
      <c r="C220" s="99" t="n">
        <f aca="false">E41</f>
        <v>725142.37</v>
      </c>
      <c r="D220" s="81" t="n">
        <f aca="false">Engine!$C$177</f>
        <v>0.125</v>
      </c>
      <c r="E220" s="99" t="n">
        <f aca="false">C220*D220*0.0001</f>
        <v>9.064279625</v>
      </c>
      <c r="F220" s="99" t="n">
        <f aca="false">F219+E220</f>
        <v>8.882576855</v>
      </c>
      <c r="G220" s="84" t="n">
        <f aca="false">E220/SUM(E$219:E$225)</f>
        <v>-0.046593020185439</v>
      </c>
      <c r="H220" s="68"/>
      <c r="I220" s="68"/>
      <c r="J220" s="68"/>
      <c r="K220" s="68"/>
      <c r="L220" s="68"/>
      <c r="M220" s="68"/>
      <c r="N220" s="68"/>
    </row>
    <row r="221" customFormat="false" ht="15" hidden="false" customHeight="true" outlineLevel="1" collapsed="false">
      <c r="A221" s="68"/>
      <c r="B221" s="72" t="s">
        <v>502</v>
      </c>
      <c r="C221" s="99" t="n">
        <f aca="false">E42</f>
        <v>-49686.97</v>
      </c>
      <c r="D221" s="81" t="n">
        <f aca="false">Engine!$C$178</f>
        <v>0.375</v>
      </c>
      <c r="E221" s="99" t="n">
        <f aca="false">C221*D221*0.0001</f>
        <v>-1.863261375</v>
      </c>
      <c r="F221" s="99" t="n">
        <f aca="false">F220+E221</f>
        <v>7.01931548</v>
      </c>
      <c r="G221" s="84" t="n">
        <f aca="false">E221/SUM(E$219:E$225)</f>
        <v>0.00957770263581469</v>
      </c>
      <c r="H221" s="68"/>
      <c r="I221" s="68"/>
      <c r="J221" s="68"/>
      <c r="K221" s="68"/>
      <c r="L221" s="68"/>
      <c r="M221" s="68"/>
      <c r="N221" s="68"/>
    </row>
    <row r="222" customFormat="false" ht="15" hidden="false" customHeight="true" outlineLevel="1" collapsed="false">
      <c r="A222" s="68"/>
      <c r="B222" s="72" t="s">
        <v>503</v>
      </c>
      <c r="C222" s="99" t="n">
        <f aca="false">E43</f>
        <v>-70702.78</v>
      </c>
      <c r="D222" s="113" t="n">
        <f aca="false">Engine!$C$179</f>
        <v>0.75</v>
      </c>
      <c r="E222" s="99" t="n">
        <f aca="false">C222*D222*0.0001</f>
        <v>-5.3027085</v>
      </c>
      <c r="F222" s="99" t="n">
        <f aca="false">F221+E222</f>
        <v>1.71660698</v>
      </c>
      <c r="G222" s="84" t="n">
        <f aca="false">E222/SUM(E$219:E$225)</f>
        <v>0.0272574561244296</v>
      </c>
      <c r="H222" s="68"/>
      <c r="I222" s="68"/>
      <c r="J222" s="68"/>
      <c r="K222" s="68"/>
      <c r="L222" s="68"/>
      <c r="M222" s="68"/>
      <c r="N222" s="68"/>
    </row>
    <row r="223" customFormat="false" ht="15" hidden="false" customHeight="true" outlineLevel="1" collapsed="false">
      <c r="A223" s="68"/>
      <c r="B223" s="72" t="s">
        <v>504</v>
      </c>
      <c r="C223" s="99" t="n">
        <f aca="false">E44</f>
        <v>-164703.79</v>
      </c>
      <c r="D223" s="81" t="n">
        <f aca="false">Engine!$C$180</f>
        <v>1.5</v>
      </c>
      <c r="E223" s="99" t="n">
        <f aca="false">C223*D223*0.0001</f>
        <v>-24.7055685</v>
      </c>
      <c r="F223" s="99" t="n">
        <f aca="false">F222+E223</f>
        <v>-22.98896152</v>
      </c>
      <c r="G223" s="84" t="n">
        <f aca="false">E223/SUM(E$219:E$225)</f>
        <v>0.126993771092234</v>
      </c>
      <c r="H223" s="68"/>
      <c r="I223" s="68"/>
      <c r="J223" s="68"/>
      <c r="K223" s="68"/>
      <c r="L223" s="68"/>
      <c r="M223" s="68"/>
      <c r="N223" s="68"/>
    </row>
    <row r="224" customFormat="false" ht="15" hidden="false" customHeight="true" outlineLevel="1" collapsed="false">
      <c r="A224" s="68"/>
      <c r="B224" s="72" t="s">
        <v>505</v>
      </c>
      <c r="C224" s="99" t="n">
        <f aca="false">E45</f>
        <v>-241300.33</v>
      </c>
      <c r="D224" s="81" t="n">
        <f aca="false">Engine!$C$181</f>
        <v>3.5</v>
      </c>
      <c r="E224" s="99" t="n">
        <f aca="false">C224*D224*0.0001</f>
        <v>-84.4551155</v>
      </c>
      <c r="F224" s="99" t="n">
        <f aca="false">F223+E224</f>
        <v>-107.44407702</v>
      </c>
      <c r="G224" s="84" t="n">
        <f aca="false">E224/SUM(E$219:E$225)</f>
        <v>0.434123732282264</v>
      </c>
      <c r="H224" s="68"/>
      <c r="I224" s="68"/>
      <c r="J224" s="68"/>
      <c r="K224" s="68"/>
      <c r="L224" s="68"/>
      <c r="M224" s="68"/>
      <c r="N224" s="68"/>
    </row>
    <row r="225" customFormat="false" ht="15" hidden="false" customHeight="true" outlineLevel="1" collapsed="false">
      <c r="A225" s="68"/>
      <c r="B225" s="72" t="s">
        <v>662</v>
      </c>
      <c r="C225" s="99" t="n">
        <f aca="false">E46</f>
        <v>-124425</v>
      </c>
      <c r="D225" s="81" t="n">
        <f aca="false">Engine!$C$182</f>
        <v>7</v>
      </c>
      <c r="E225" s="99" t="n">
        <f aca="false">C225*D225*0.0001</f>
        <v>-87.0975</v>
      </c>
      <c r="F225" s="99" t="n">
        <f aca="false">F224+E225</f>
        <v>-194.54157702</v>
      </c>
      <c r="G225" s="84" t="n">
        <f aca="false">E225/SUM(E$219:E$225)</f>
        <v>0.44770635323392</v>
      </c>
      <c r="H225" s="68"/>
      <c r="I225" s="68"/>
      <c r="J225" s="68"/>
      <c r="K225" s="68"/>
      <c r="L225" s="68"/>
      <c r="M225" s="68"/>
      <c r="N225" s="68"/>
    </row>
    <row r="226" customFormat="false" ht="15" hidden="false" customHeight="true" outlineLevel="1" collapsed="false">
      <c r="A226" s="68"/>
      <c r="B226" s="77" t="s">
        <v>516</v>
      </c>
      <c r="C226" s="68"/>
      <c r="D226" s="68"/>
      <c r="E226" s="99" t="n">
        <f aca="false">SUM(E219:E225)</f>
        <v>-194.54157702</v>
      </c>
      <c r="F226" s="68"/>
      <c r="G226" s="84" t="n">
        <f aca="false">E226/SUM(E$219:E$225)</f>
        <v>1</v>
      </c>
      <c r="H226" s="68"/>
      <c r="I226" s="68"/>
      <c r="J226" s="68"/>
      <c r="K226" s="68"/>
      <c r="L226" s="68"/>
      <c r="M226" s="68"/>
      <c r="N226" s="68"/>
    </row>
    <row r="227" customFormat="false" ht="15" hidden="false" customHeight="true" outlineLevel="1" collapsed="false">
      <c r="A227" s="68"/>
      <c r="B227" s="116" t="s">
        <v>663</v>
      </c>
      <c r="C227" s="68"/>
      <c r="D227" s="68"/>
      <c r="E227" s="99" t="n">
        <f aca="false">E226*100*(1-Engine!$C$256)</f>
        <v>-8754.3709659</v>
      </c>
      <c r="F227" s="68"/>
      <c r="I227" s="68"/>
      <c r="J227" s="68"/>
      <c r="K227" s="68"/>
      <c r="L227" s="68"/>
      <c r="M227" s="68"/>
      <c r="N227" s="68"/>
    </row>
    <row r="228" customFormat="false" ht="15" hidden="false" customHeight="true" outlineLevel="1" collapsed="false">
      <c r="A228" s="68"/>
      <c r="B228" s="72" t="s">
        <v>664</v>
      </c>
      <c r="C228" s="68"/>
      <c r="D228" s="68"/>
      <c r="E228" s="99" t="n">
        <f aca="false">E226*200*(1-Engine!$C$256)</f>
        <v>-17508.7419318</v>
      </c>
      <c r="F228" s="68"/>
      <c r="I228" s="68"/>
      <c r="J228" s="68"/>
      <c r="K228" s="68"/>
      <c r="L228" s="68"/>
      <c r="M228" s="68"/>
      <c r="N228" s="68"/>
    </row>
    <row r="229" customFormat="false" ht="15" hidden="false" customHeight="true" outlineLevel="1" collapsed="false">
      <c r="A229" s="68"/>
      <c r="B229" s="72" t="s">
        <v>665</v>
      </c>
      <c r="C229" s="68"/>
      <c r="D229" s="68"/>
      <c r="E229" s="113" t="n">
        <f aca="false">ABS(E228)/Engine!D145</f>
        <v>0.132468370482625</v>
      </c>
      <c r="F229" s="68"/>
      <c r="G229" s="68"/>
      <c r="H229" s="68"/>
      <c r="I229" s="68"/>
      <c r="J229" s="68"/>
      <c r="K229" s="68"/>
      <c r="L229" s="68"/>
      <c r="M229" s="68"/>
      <c r="N229" s="68"/>
    </row>
    <row r="230" customFormat="false" ht="15" hidden="false" customHeight="true" outlineLevel="1" collapsed="false">
      <c r="A230" s="68"/>
      <c r="B230" s="72" t="s">
        <v>666</v>
      </c>
      <c r="C230" s="68"/>
      <c r="D230" s="68"/>
      <c r="E230" s="99" t="str">
        <f aca="false">IF(E229&gt;0.15,"OUTLIER: "&amp;TEXT(E229,"0.0%")&amp;" &gt; 15% threshold — structural position, see Pillar 3 disclosure","Within limit")</f>
        <v>Within limit</v>
      </c>
      <c r="F230" s="68"/>
      <c r="G230" s="68"/>
      <c r="H230" s="68"/>
      <c r="I230" s="68"/>
      <c r="J230" s="68"/>
      <c r="K230" s="68"/>
      <c r="L230" s="68"/>
      <c r="M230" s="68"/>
      <c r="N230" s="68"/>
    </row>
    <row r="231" customFormat="false" ht="15" hidden="false" customHeight="true" outlineLevel="1" collapsed="false">
      <c r="A231" s="68"/>
      <c r="B231" s="72" t="s">
        <v>667</v>
      </c>
      <c r="C231" s="68"/>
      <c r="D231" s="68"/>
      <c r="E231" s="94" t="n">
        <f aca="false">ABS(E228-D57)</f>
        <v>0</v>
      </c>
      <c r="F231" s="68"/>
      <c r="G231" s="68"/>
      <c r="H231" s="68"/>
      <c r="I231" s="68"/>
      <c r="J231" s="68"/>
      <c r="K231" s="68"/>
      <c r="L231" s="68"/>
      <c r="M231" s="68"/>
      <c r="N231" s="68"/>
    </row>
    <row r="232" customFormat="false" ht="15" hidden="false" customHeight="true" outlineLevel="1" collapsed="false">
      <c r="A232" s="68"/>
      <c r="B232" s="72" t="s">
        <v>668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</row>
    <row r="233" customFormat="false" ht="18" hidden="false" customHeight="true" outlineLevel="1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</row>
    <row r="234" customFormat="false" ht="27.75" hidden="false" customHeight="true" outlineLevel="1" collapsed="false">
      <c r="A234" s="68"/>
      <c r="B234" s="67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</row>
    <row r="235" customFormat="false" ht="15" hidden="false" customHeight="true" outlineLevel="0" collapsed="false">
      <c r="A235" s="64"/>
      <c r="B235" s="79" t="s">
        <v>669</v>
      </c>
      <c r="C235" s="79"/>
      <c r="D235" s="79"/>
      <c r="E235" s="79"/>
      <c r="F235" s="79"/>
      <c r="G235" s="79"/>
      <c r="H235" s="79"/>
      <c r="I235" s="79"/>
      <c r="J235" s="78"/>
      <c r="K235" s="78"/>
      <c r="L235" s="78"/>
      <c r="M235" s="68"/>
      <c r="N235" s="68"/>
    </row>
    <row r="236" customFormat="false" ht="15" hidden="false" customHeight="true" outlineLevel="1" collapsed="false">
      <c r="A236" s="68"/>
      <c r="B236" s="72" t="s">
        <v>670</v>
      </c>
      <c r="C236" s="120" t="s">
        <v>671</v>
      </c>
      <c r="D236" s="120" t="s">
        <v>672</v>
      </c>
      <c r="E236" s="120" t="s">
        <v>673</v>
      </c>
      <c r="F236" s="91"/>
      <c r="G236" s="68"/>
      <c r="H236" s="68"/>
      <c r="I236" s="68"/>
      <c r="J236" s="68"/>
      <c r="K236" s="68"/>
      <c r="L236" s="68"/>
      <c r="M236" s="68"/>
      <c r="N236" s="68"/>
    </row>
    <row r="237" customFormat="false" ht="15" hidden="false" customHeight="true" outlineLevel="1" collapsed="false">
      <c r="A237" s="68"/>
      <c r="B237" s="72" t="s">
        <v>500</v>
      </c>
      <c r="C237" s="136" t="n">
        <f aca="false">Engine!E14</f>
        <v>0.0225</v>
      </c>
      <c r="D237" s="125" t="n">
        <v>0</v>
      </c>
      <c r="E237" s="112" t="n">
        <f aca="false">C237+D237/10000</f>
        <v>0.0225</v>
      </c>
      <c r="F237" s="91"/>
      <c r="G237" s="68"/>
      <c r="H237" s="68"/>
      <c r="I237" s="68"/>
      <c r="J237" s="68"/>
      <c r="K237" s="68"/>
      <c r="L237" s="68"/>
      <c r="M237" s="68"/>
      <c r="N237" s="68"/>
    </row>
    <row r="238" customFormat="false" ht="15" hidden="false" customHeight="true" outlineLevel="1" collapsed="false">
      <c r="A238" s="68"/>
      <c r="B238" s="72" t="s">
        <v>648</v>
      </c>
      <c r="C238" s="136" t="n">
        <f aca="false">Engine!E15</f>
        <v>0.0235</v>
      </c>
      <c r="D238" s="125" t="n">
        <v>5</v>
      </c>
      <c r="E238" s="112" t="n">
        <f aca="false">C238+D238/10000</f>
        <v>0.024</v>
      </c>
      <c r="F238" s="91"/>
      <c r="G238" s="68"/>
      <c r="H238" s="68"/>
      <c r="I238" s="68"/>
      <c r="J238" s="68"/>
      <c r="K238" s="68"/>
      <c r="L238" s="68"/>
      <c r="M238" s="68"/>
      <c r="N238" s="68"/>
    </row>
    <row r="239" customFormat="false" ht="15" hidden="false" customHeight="true" outlineLevel="1" collapsed="false">
      <c r="A239" s="68"/>
      <c r="B239" s="72" t="s">
        <v>649</v>
      </c>
      <c r="C239" s="136" t="n">
        <f aca="false">Engine!E15</f>
        <v>0.0235</v>
      </c>
      <c r="D239" s="125" t="n">
        <v>10</v>
      </c>
      <c r="E239" s="112" t="n">
        <f aca="false">C239+D239/10000</f>
        <v>0.0245</v>
      </c>
      <c r="F239" s="91"/>
      <c r="G239" s="68"/>
      <c r="H239" s="68"/>
      <c r="I239" s="68"/>
      <c r="J239" s="68"/>
      <c r="K239" s="68"/>
      <c r="L239" s="68"/>
      <c r="M239" s="68"/>
      <c r="N239" s="68"/>
    </row>
    <row r="240" customFormat="false" ht="15" hidden="false" customHeight="true" outlineLevel="1" collapsed="false">
      <c r="A240" s="68"/>
      <c r="B240" s="72" t="s">
        <v>650</v>
      </c>
      <c r="C240" s="136" t="n">
        <f aca="false">(Engine!E15+Engine!E16)/2</f>
        <v>0.02525</v>
      </c>
      <c r="D240" s="125" t="n">
        <v>15</v>
      </c>
      <c r="E240" s="112" t="n">
        <f aca="false">C240+D240/10000</f>
        <v>0.02675</v>
      </c>
      <c r="F240" s="91"/>
      <c r="G240" s="68"/>
      <c r="H240" s="68"/>
      <c r="I240" s="68"/>
      <c r="J240" s="68"/>
      <c r="K240" s="68"/>
      <c r="L240" s="68"/>
      <c r="M240" s="68"/>
      <c r="N240" s="68"/>
    </row>
    <row r="241" customFormat="false" ht="15" hidden="false" customHeight="true" outlineLevel="1" collapsed="false">
      <c r="A241" s="68"/>
      <c r="B241" s="72" t="s">
        <v>651</v>
      </c>
      <c r="C241" s="136" t="n">
        <f aca="false">Engine!E16*0.6+Engine!E15*0.4</f>
        <v>0.0256</v>
      </c>
      <c r="D241" s="125" t="n">
        <v>20</v>
      </c>
      <c r="E241" s="112" t="n">
        <f aca="false">C241+D241/10000</f>
        <v>0.0276</v>
      </c>
      <c r="F241" s="91"/>
      <c r="G241" s="68"/>
      <c r="H241" s="68"/>
      <c r="I241" s="68"/>
      <c r="J241" s="68"/>
      <c r="K241" s="68"/>
      <c r="L241" s="68"/>
      <c r="M241" s="68"/>
      <c r="N241" s="68"/>
    </row>
    <row r="242" customFormat="false" ht="15" hidden="false" customHeight="true" outlineLevel="1" collapsed="false">
      <c r="A242" s="68"/>
      <c r="B242" s="72" t="s">
        <v>674</v>
      </c>
      <c r="C242" s="136" t="n">
        <f aca="false">Engine!E16</f>
        <v>0.027</v>
      </c>
      <c r="D242" s="125" t="n">
        <v>25</v>
      </c>
      <c r="E242" s="112" t="n">
        <f aca="false">C242+D242/10000</f>
        <v>0.0295</v>
      </c>
      <c r="F242" s="91"/>
      <c r="G242" s="68"/>
      <c r="H242" s="68"/>
      <c r="I242" s="68"/>
      <c r="J242" s="68"/>
      <c r="K242" s="68"/>
      <c r="L242" s="68"/>
      <c r="M242" s="68"/>
      <c r="N242" s="68"/>
    </row>
    <row r="243" customFormat="false" ht="15" hidden="false" customHeight="true" outlineLevel="1" collapsed="false">
      <c r="A243" s="68"/>
      <c r="B243" s="72" t="s">
        <v>675</v>
      </c>
      <c r="C243" s="136" t="n">
        <f aca="false">Engine!E16</f>
        <v>0.027</v>
      </c>
      <c r="D243" s="125" t="n">
        <v>35</v>
      </c>
      <c r="E243" s="112" t="n">
        <f aca="false">C243+D243/10000</f>
        <v>0.0305</v>
      </c>
      <c r="F243" s="91"/>
      <c r="G243" s="68"/>
      <c r="H243" s="68"/>
      <c r="I243" s="68"/>
      <c r="J243" s="68"/>
      <c r="K243" s="68"/>
      <c r="L243" s="68"/>
      <c r="M243" s="68"/>
      <c r="N243" s="68"/>
    </row>
    <row r="244" customFormat="false" ht="15" hidden="false" customHeight="true" outlineLevel="1" collapsed="false">
      <c r="A244" s="68"/>
      <c r="B244" s="72" t="s">
        <v>676</v>
      </c>
      <c r="C244" s="136" t="n">
        <f aca="false">Engine!E17</f>
        <v>0.0255</v>
      </c>
      <c r="D244" s="125" t="n">
        <v>50</v>
      </c>
      <c r="E244" s="112" t="n">
        <f aca="false">C244+D244/10000</f>
        <v>0.0305</v>
      </c>
      <c r="F244" s="91"/>
      <c r="G244" s="68"/>
      <c r="H244" s="68"/>
      <c r="I244" s="68"/>
      <c r="J244" s="68"/>
      <c r="K244" s="68"/>
      <c r="L244" s="68"/>
      <c r="M244" s="68"/>
      <c r="N244" s="68"/>
    </row>
    <row r="245" customFormat="false" ht="15" hidden="false" customHeight="true" outlineLevel="1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</row>
    <row r="246" customFormat="false" ht="15" hidden="false" customHeight="true" outlineLevel="1" collapsed="false">
      <c r="A246" s="68"/>
      <c r="B246" s="72" t="s">
        <v>677</v>
      </c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</row>
    <row r="247" customFormat="false" ht="15" hidden="false" customHeight="true" outlineLevel="1" collapsed="false">
      <c r="A247" s="68"/>
      <c r="B247" s="72" t="s">
        <v>678</v>
      </c>
      <c r="C247" s="133" t="n">
        <v>0.045</v>
      </c>
      <c r="D247" s="68"/>
      <c r="E247" s="120" t="s">
        <v>679</v>
      </c>
      <c r="F247" s="68"/>
      <c r="G247" s="68"/>
      <c r="H247" s="68"/>
      <c r="I247" s="68"/>
      <c r="J247" s="68"/>
      <c r="K247" s="68"/>
      <c r="L247" s="68"/>
      <c r="M247" s="68"/>
      <c r="N247" s="68"/>
    </row>
    <row r="248" customFormat="false" ht="15" hidden="false" customHeight="true" outlineLevel="1" collapsed="false">
      <c r="A248" s="68"/>
      <c r="B248" s="72" t="s">
        <v>680</v>
      </c>
      <c r="C248" s="112" t="n">
        <f aca="false">E243</f>
        <v>0.0305</v>
      </c>
      <c r="D248" s="68"/>
      <c r="E248" s="120" t="s">
        <v>681</v>
      </c>
      <c r="F248" s="68"/>
      <c r="G248" s="68"/>
      <c r="H248" s="68"/>
      <c r="I248" s="68"/>
      <c r="J248" s="68"/>
      <c r="K248" s="68"/>
      <c r="L248" s="68"/>
      <c r="M248" s="68"/>
      <c r="N248" s="68"/>
    </row>
    <row r="249" customFormat="false" ht="15" hidden="false" customHeight="true" outlineLevel="1" collapsed="false">
      <c r="A249" s="68"/>
      <c r="B249" s="72" t="s">
        <v>682</v>
      </c>
      <c r="C249" s="112" t="n">
        <f aca="false">C247-C248</f>
        <v>0.0145</v>
      </c>
      <c r="D249" s="68"/>
      <c r="E249" s="120" t="s">
        <v>683</v>
      </c>
      <c r="F249" s="68"/>
      <c r="G249" s="68"/>
      <c r="H249" s="68"/>
      <c r="I249" s="68"/>
      <c r="J249" s="68"/>
      <c r="K249" s="68"/>
      <c r="L249" s="68"/>
      <c r="M249" s="68"/>
      <c r="N249" s="68"/>
    </row>
    <row r="250" customFormat="false" ht="15" hidden="false" customHeight="true" outlineLevel="1" collapsed="false">
      <c r="A250" s="68"/>
      <c r="B250" s="72" t="s">
        <v>684</v>
      </c>
      <c r="C250" s="98" t="n">
        <f aca="false">Engine!E128*0.3</f>
        <v>277283.622</v>
      </c>
      <c r="D250" s="68"/>
      <c r="E250" s="120" t="s">
        <v>685</v>
      </c>
      <c r="F250" s="68"/>
      <c r="G250" s="68"/>
      <c r="H250" s="68"/>
      <c r="I250" s="68"/>
      <c r="J250" s="68"/>
      <c r="K250" s="68"/>
      <c r="L250" s="68"/>
      <c r="M250" s="68"/>
      <c r="N250" s="68"/>
    </row>
    <row r="251" customFormat="false" ht="15" hidden="false" customHeight="true" outlineLevel="1" collapsed="false">
      <c r="A251" s="68"/>
      <c r="B251" s="72" t="s">
        <v>686</v>
      </c>
      <c r="C251" s="99" t="n">
        <f aca="false">C249*C250</f>
        <v>4020.612519</v>
      </c>
      <c r="D251" s="68"/>
      <c r="E251" s="120" t="s">
        <v>687</v>
      </c>
      <c r="F251" s="68"/>
      <c r="G251" s="68"/>
      <c r="H251" s="68"/>
      <c r="I251" s="68"/>
      <c r="J251" s="68"/>
      <c r="K251" s="68"/>
      <c r="L251" s="68"/>
      <c r="M251" s="68"/>
      <c r="N251" s="68"/>
    </row>
    <row r="252" customFormat="false" ht="15" hidden="false" customHeight="true" outlineLevel="1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</row>
    <row r="253" customFormat="false" ht="15" hidden="false" customHeight="true" outlineLevel="1" collapsed="false">
      <c r="A253" s="68"/>
      <c r="B253" s="72" t="s">
        <v>688</v>
      </c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</row>
    <row r="254" customFormat="false" ht="15" hidden="false" customHeight="true" outlineLevel="1" collapsed="false">
      <c r="A254" s="68"/>
      <c r="B254" s="72" t="s">
        <v>689</v>
      </c>
      <c r="C254" s="112" t="n">
        <f aca="false">Engine!E117</f>
        <v>0.004</v>
      </c>
      <c r="D254" s="68"/>
      <c r="E254" s="120" t="s">
        <v>690</v>
      </c>
      <c r="F254" s="68"/>
      <c r="G254" s="68"/>
      <c r="H254" s="68"/>
      <c r="I254" s="68"/>
      <c r="J254" s="68"/>
      <c r="K254" s="68"/>
      <c r="L254" s="68"/>
      <c r="M254" s="68"/>
      <c r="N254" s="68"/>
    </row>
    <row r="255" customFormat="false" ht="15" hidden="false" customHeight="true" outlineLevel="1" collapsed="false">
      <c r="A255" s="68"/>
      <c r="B255" s="72" t="s">
        <v>691</v>
      </c>
      <c r="C255" s="112" t="n">
        <f aca="false">E237</f>
        <v>0.0225</v>
      </c>
      <c r="D255" s="68"/>
      <c r="E255" s="120" t="s">
        <v>692</v>
      </c>
      <c r="F255" s="68"/>
      <c r="G255" s="68"/>
      <c r="H255" s="68"/>
      <c r="I255" s="68"/>
      <c r="J255" s="68"/>
      <c r="K255" s="68"/>
      <c r="L255" s="68"/>
      <c r="M255" s="68"/>
      <c r="N255" s="68"/>
    </row>
    <row r="256" customFormat="false" ht="15" hidden="false" customHeight="true" outlineLevel="1" collapsed="false">
      <c r="A256" s="68"/>
      <c r="B256" s="72" t="s">
        <v>693</v>
      </c>
      <c r="C256" s="112" t="n">
        <f aca="false">C255-C254</f>
        <v>0.0185</v>
      </c>
      <c r="D256" s="68"/>
      <c r="E256" s="120" t="s">
        <v>694</v>
      </c>
      <c r="F256" s="68"/>
      <c r="G256" s="68"/>
      <c r="H256" s="68"/>
      <c r="I256" s="68"/>
      <c r="J256" s="68"/>
      <c r="K256" s="68"/>
      <c r="L256" s="68"/>
      <c r="M256" s="68"/>
      <c r="N256" s="68"/>
    </row>
    <row r="257" customFormat="false" ht="15" hidden="false" customHeight="true" outlineLevel="1" collapsed="false">
      <c r="A257" s="68"/>
      <c r="B257" s="72" t="s">
        <v>695</v>
      </c>
      <c r="C257" s="98" t="n">
        <f aca="false">Engine!E136</f>
        <v>1102453.1</v>
      </c>
      <c r="D257" s="68"/>
      <c r="E257" s="120" t="s">
        <v>696</v>
      </c>
      <c r="F257" s="68"/>
      <c r="G257" s="68"/>
      <c r="H257" s="68"/>
      <c r="I257" s="68"/>
      <c r="J257" s="68"/>
      <c r="K257" s="68"/>
      <c r="L257" s="68"/>
      <c r="M257" s="68"/>
      <c r="N257" s="68"/>
    </row>
    <row r="258" customFormat="false" ht="15" hidden="false" customHeight="true" outlineLevel="1" collapsed="false">
      <c r="A258" s="68"/>
      <c r="B258" s="72" t="s">
        <v>686</v>
      </c>
      <c r="C258" s="99" t="n">
        <f aca="false">C256*C257</f>
        <v>20395.38235</v>
      </c>
      <c r="D258" s="68"/>
      <c r="E258" s="120" t="s">
        <v>697</v>
      </c>
      <c r="F258" s="68"/>
      <c r="G258" s="68"/>
      <c r="H258" s="68"/>
      <c r="I258" s="68"/>
      <c r="J258" s="68"/>
      <c r="K258" s="68"/>
      <c r="L258" s="68"/>
      <c r="M258" s="68"/>
      <c r="N258" s="68"/>
    </row>
    <row r="259" customFormat="false" ht="15.75" hidden="false" customHeight="true" outlineLevel="1" collapsed="false">
      <c r="A259" s="68"/>
      <c r="B259" s="77" t="s">
        <v>698</v>
      </c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</row>
    <row r="260" customFormat="false" ht="15" hidden="false" customHeight="true" outlineLevel="1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</row>
    <row r="261" customFormat="false" ht="15" hidden="false" customHeight="true" outlineLevel="1" collapsed="false">
      <c r="A261" s="68"/>
      <c r="B261" s="72" t="s">
        <v>699</v>
      </c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</row>
    <row r="262" customFormat="false" ht="15" hidden="false" customHeight="true" outlineLevel="1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</row>
    <row r="263" customFormat="false" ht="15" hidden="false" customHeight="true" outlineLevel="1" collapsed="false">
      <c r="A263" s="68"/>
      <c r="B263" s="131" t="s">
        <v>700</v>
      </c>
      <c r="C263" s="131"/>
      <c r="D263" s="131"/>
      <c r="E263" s="131"/>
      <c r="F263" s="68"/>
      <c r="G263" s="68"/>
      <c r="H263" s="68"/>
      <c r="I263" s="68"/>
      <c r="J263" s="68"/>
      <c r="K263" s="68"/>
      <c r="L263" s="68"/>
      <c r="M263" s="68"/>
      <c r="N263" s="68"/>
    </row>
    <row r="264" customFormat="false" ht="15" hidden="false" customHeight="true" outlineLevel="1" collapsed="false">
      <c r="A264" s="68"/>
      <c r="B264" s="72" t="s">
        <v>701</v>
      </c>
      <c r="C264" s="120" t="s">
        <v>702</v>
      </c>
      <c r="D264" s="120" t="s">
        <v>703</v>
      </c>
      <c r="E264" s="120" t="s">
        <v>704</v>
      </c>
      <c r="F264" s="68"/>
      <c r="G264" s="68"/>
      <c r="H264" s="68"/>
      <c r="I264" s="68"/>
      <c r="J264" s="68"/>
      <c r="K264" s="68"/>
      <c r="L264" s="68"/>
      <c r="M264" s="68"/>
      <c r="N264" s="68"/>
    </row>
    <row r="265" customFormat="false" ht="15" hidden="false" customHeight="true" outlineLevel="1" collapsed="false">
      <c r="A265" s="68"/>
      <c r="B265" s="72" t="s">
        <v>705</v>
      </c>
      <c r="C265" s="112" t="n">
        <f aca="false">ABS(E228-D57)/ABS(D57)</f>
        <v>0</v>
      </c>
      <c r="D265" s="112" t="n">
        <f aca="false">ABS(E228-D57)</f>
        <v>0</v>
      </c>
      <c r="E265" s="99" t="str">
        <f aca="false">IF(C265&lt;0.05,"PASS","FAIL")</f>
        <v>PASS</v>
      </c>
      <c r="F265" s="68"/>
      <c r="G265" s="68"/>
      <c r="H265" s="68"/>
      <c r="I265" s="68"/>
      <c r="J265" s="68"/>
      <c r="K265" s="68"/>
      <c r="L265" s="68"/>
      <c r="M265" s="68"/>
      <c r="N265" s="68"/>
    </row>
    <row r="266" customFormat="false" ht="15" hidden="false" customHeight="true" outlineLevel="1" collapsed="false">
      <c r="A266" s="68"/>
      <c r="B266" s="72" t="s">
        <v>706</v>
      </c>
      <c r="C266" s="112" t="n">
        <f aca="false">ABS(J186-D23)/D23</f>
        <v>0.00710708893962673</v>
      </c>
      <c r="D266" s="99" t="n">
        <f aca="false">ABS(J186-D23)</f>
        <v>161.229064027739</v>
      </c>
      <c r="E266" s="99" t="str">
        <f aca="false">IF(C266&lt;0.01,"PASS","FAIL")</f>
        <v>PASS</v>
      </c>
      <c r="F266" s="68"/>
      <c r="G266" s="68"/>
      <c r="H266" s="68"/>
      <c r="I266" s="68"/>
      <c r="J266" s="68"/>
      <c r="K266" s="68"/>
      <c r="L266" s="68"/>
      <c r="M266" s="68"/>
      <c r="N266" s="68"/>
    </row>
    <row r="267" customFormat="false" ht="15" hidden="false" customHeight="true" outlineLevel="1" collapsed="false">
      <c r="A267" s="68"/>
      <c r="B267" s="72" t="s">
        <v>707</v>
      </c>
      <c r="C267" s="99" t="n">
        <f aca="false">IFERROR(MATCH("BREACH",H199:H205,0),99)</f>
        <v>99</v>
      </c>
      <c r="D267" s="68"/>
      <c r="E267" s="99" t="str">
        <f aca="false">IF(C267&gt;2,"PASS","CHECK DATA")</f>
        <v>PASS</v>
      </c>
      <c r="F267" s="68"/>
      <c r="G267" s="68"/>
      <c r="H267" s="68"/>
      <c r="I267" s="68"/>
      <c r="J267" s="68"/>
      <c r="K267" s="68"/>
      <c r="L267" s="68"/>
      <c r="M267" s="68"/>
      <c r="N267" s="68"/>
    </row>
    <row r="268" customFormat="false" ht="15" hidden="false" customHeight="true" outlineLevel="1" collapsed="false">
      <c r="A268" s="68"/>
      <c r="B268" s="72" t="s">
        <v>708</v>
      </c>
      <c r="C268" s="112" t="n">
        <f aca="false">E244-E237</f>
        <v>0.008</v>
      </c>
      <c r="D268" s="68"/>
      <c r="E268" s="99" t="str">
        <f aca="false">IF(C268&gt;0,"PASS","INVERTED CURVE")</f>
        <v>PASS</v>
      </c>
      <c r="F268" s="68"/>
      <c r="G268" s="68"/>
      <c r="H268" s="68"/>
      <c r="I268" s="68"/>
      <c r="J268" s="68"/>
      <c r="K268" s="68"/>
      <c r="L268" s="68"/>
      <c r="M268" s="68"/>
      <c r="N268" s="68"/>
    </row>
    <row r="269" customFormat="false" ht="15" hidden="false" customHeight="true" outlineLevel="1" collapsed="false"/>
  </sheetData>
  <mergeCells count="14">
    <mergeCell ref="B76:H76"/>
    <mergeCell ref="B87:H87"/>
    <mergeCell ref="B97:H97"/>
    <mergeCell ref="C98:D98"/>
    <mergeCell ref="E98:F98"/>
    <mergeCell ref="G98:H98"/>
    <mergeCell ref="I98:J98"/>
    <mergeCell ref="C109:D109"/>
    <mergeCell ref="E109:F109"/>
    <mergeCell ref="G109:H109"/>
    <mergeCell ref="I109:J109"/>
    <mergeCell ref="B133:H133"/>
    <mergeCell ref="B144:H144"/>
    <mergeCell ref="B147:H147"/>
  </mergeCells>
  <conditionalFormatting sqref="C161:I16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">
      <colorScale>
        <cfvo type="min" val="0"/>
        <cfvo type="num" val="0.0174"/>
        <cfvo type="max" val="0"/>
        <color rgb="FFFF0000"/>
        <color rgb="FFFFFFFF"/>
        <color rgb="FF00B050"/>
      </colorScale>
    </cfRule>
  </conditionalFormatting>
  <conditionalFormatting sqref="G149:I150">
    <cfRule type="cellIs" priority="4" operator="lessThan" aboveAverage="0" equalAverage="0" bottom="0" percent="0" rank="0" text="" dxfId="0">
      <formula>0</formula>
    </cfRule>
  </conditionalFormatting>
  <conditionalFormatting sqref="G153:I155">
    <cfRule type="cellIs" priority="5" operator="lessThan" aboveAverage="0" equalAverage="0" bottom="0" percent="0" rank="0" text="" dxfId="0">
      <formula>0</formula>
    </cfRule>
  </conditionalFormatting>
  <conditionalFormatting sqref="G157:I157">
    <cfRule type="cellIs" priority="6" operator="lessThan" aboveAverage="0" equalAverage="0" bottom="0" percent="0" rank="0" text="" dxfId="0">
      <formula>0</formula>
    </cfRule>
  </conditionalFormatting>
  <conditionalFormatting sqref="G151:I152">
    <cfRule type="cellIs" priority="7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2026-03-16T23:00:55Z</dcterms:created>
  <dc:creator>openpyxl</dc:creator>
  <dc:description/>
  <dc:language>en-US</dc:language>
  <cp:lastModifiedBy/>
  <dcterms:modified xsi:type="dcterms:W3CDTF">2026-03-30T20:37:27Z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